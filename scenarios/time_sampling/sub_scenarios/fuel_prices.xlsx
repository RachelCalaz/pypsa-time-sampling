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pypsa-time-sampling/scenarios/Coal_Flexibilisation/sub_scenarios/"/>
    </mc:Choice>
  </mc:AlternateContent>
  <xr:revisionPtr revIDLastSave="0" documentId="13_ncr:1_{E73C34FF-FDE7-4543-BCF1-CEF3D8F50997}" xr6:coauthVersionLast="47" xr6:coauthVersionMax="47" xr10:uidLastSave="{00000000-0000-0000-0000-000000000000}"/>
  <bookViews>
    <workbookView xWindow="0" yWindow="760" windowWidth="30240" windowHeight="17860" tabRatio="500" xr2:uid="{00000000-000D-0000-FFFF-FFFF00000000}"/>
  </bookViews>
  <sheets>
    <sheet name="fixed_generators" sheetId="1" r:id="rId1"/>
    <sheet name="extendable_generators" sheetId="2" r:id="rId2"/>
    <sheet name="green_NH3" sheetId="3" r:id="rId3"/>
    <sheet name="carbon_tax" sheetId="5" r:id="rId4"/>
  </sheets>
  <definedNames>
    <definedName name="_xlnm._FilterDatabase" localSheetId="0" hidden="1">fixed_generators!$A$1:$C$1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2" i="2" l="1"/>
  <c r="AK52" i="2" s="1"/>
  <c r="AS45" i="2"/>
  <c r="AO44" i="2"/>
  <c r="AP44" i="2"/>
  <c r="AQ44" i="2"/>
  <c r="AR44" i="2"/>
  <c r="AS44" i="2"/>
  <c r="AN44" i="2"/>
  <c r="AJ43" i="2"/>
  <c r="AK43" i="2"/>
  <c r="AL43" i="2"/>
  <c r="AM43" i="2"/>
  <c r="AN43" i="2"/>
  <c r="AO43" i="2"/>
  <c r="AP43" i="2"/>
  <c r="AQ43" i="2"/>
  <c r="AR43" i="2"/>
  <c r="AS43" i="2"/>
  <c r="AI43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D42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Y41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J39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Y55" i="2"/>
  <c r="Z55" i="2"/>
  <c r="AA55" i="2"/>
  <c r="AB55" i="2"/>
  <c r="AC55" i="2"/>
  <c r="AD55" i="2"/>
  <c r="AE55" i="2"/>
  <c r="AF55" i="2"/>
  <c r="AG55" i="2"/>
  <c r="AH55" i="2"/>
  <c r="Y54" i="2"/>
  <c r="Z54" i="2"/>
  <c r="AA54" i="2"/>
  <c r="AB54" i="2"/>
  <c r="AC54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J57" i="2"/>
  <c r="J56" i="2"/>
  <c r="J55" i="2"/>
  <c r="J54" i="2"/>
  <c r="J53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Y31" i="2"/>
  <c r="Z31" i="2"/>
  <c r="AA31" i="2"/>
  <c r="AB31" i="2"/>
  <c r="AC31" i="2"/>
  <c r="AD31" i="2"/>
  <c r="AE31" i="2"/>
  <c r="AF31" i="2"/>
  <c r="AG31" i="2"/>
  <c r="AH31" i="2"/>
  <c r="Y30" i="2"/>
  <c r="Z30" i="2"/>
  <c r="AA30" i="2"/>
  <c r="AB30" i="2"/>
  <c r="AC30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J33" i="2"/>
  <c r="J32" i="2"/>
  <c r="J31" i="2"/>
  <c r="J30" i="2"/>
  <c r="J29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J40" i="2"/>
  <c r="AJ45" i="2" s="1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J42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J41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J43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J44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J45" i="2"/>
  <c r="A15" i="1"/>
  <c r="A16" i="1" s="1"/>
  <c r="A17" i="1" s="1"/>
  <c r="A18" i="1" s="1"/>
  <c r="A10" i="1"/>
  <c r="A11" i="1" s="1"/>
  <c r="A12" i="1" s="1"/>
  <c r="A13" i="1" s="1"/>
  <c r="A5" i="1"/>
  <c r="A6" i="1" s="1"/>
  <c r="A8" i="1" s="1"/>
  <c r="A7" i="1" s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J15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J10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J5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P14" i="1"/>
  <c r="Q14" i="1" s="1"/>
  <c r="R14" i="1" s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P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P4" i="1"/>
  <c r="AJ3" i="1"/>
  <c r="AK3" i="1" s="1"/>
  <c r="AL3" i="1" s="1"/>
  <c r="AM3" i="1" s="1"/>
  <c r="AN3" i="1" s="1"/>
  <c r="AO3" i="1" s="1"/>
  <c r="AP3" i="1" s="1"/>
  <c r="AQ3" i="1" s="1"/>
  <c r="AR3" i="1" s="1"/>
  <c r="AS3" i="1" s="1"/>
  <c r="A3" i="1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51" i="2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27" i="2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K40" i="2" l="1"/>
  <c r="AK45" i="2" s="1"/>
  <c r="AJ44" i="2"/>
  <c r="AK56" i="2"/>
  <c r="AL52" i="2"/>
  <c r="AK57" i="2"/>
  <c r="AL57" i="2"/>
  <c r="P17" i="1"/>
  <c r="P16" i="1"/>
  <c r="P18" i="1"/>
  <c r="R17" i="1"/>
  <c r="R18" i="1"/>
  <c r="R16" i="1"/>
  <c r="S14" i="1"/>
  <c r="P7" i="1"/>
  <c r="P8" i="1"/>
  <c r="P6" i="1"/>
  <c r="Q4" i="1"/>
  <c r="P11" i="1"/>
  <c r="P13" i="1"/>
  <c r="P12" i="1"/>
  <c r="Q17" i="1"/>
  <c r="Q18" i="1"/>
  <c r="Q16" i="1"/>
  <c r="Q9" i="1"/>
  <c r="AL40" i="2" l="1"/>
  <c r="AK44" i="2"/>
  <c r="AM52" i="2"/>
  <c r="AL56" i="2"/>
  <c r="Q12" i="1"/>
  <c r="Q13" i="1"/>
  <c r="Q11" i="1"/>
  <c r="R9" i="1"/>
  <c r="S17" i="1"/>
  <c r="S18" i="1"/>
  <c r="S16" i="1"/>
  <c r="T14" i="1"/>
  <c r="Q7" i="1"/>
  <c r="Q6" i="1"/>
  <c r="Q8" i="1"/>
  <c r="R4" i="1"/>
  <c r="AM40" i="2" l="1"/>
  <c r="AL45" i="2"/>
  <c r="AL44" i="2"/>
  <c r="AN52" i="2"/>
  <c r="AM57" i="2"/>
  <c r="AM56" i="2"/>
  <c r="R7" i="1"/>
  <c r="R6" i="1"/>
  <c r="R8" i="1"/>
  <c r="S4" i="1"/>
  <c r="R13" i="1"/>
  <c r="R11" i="1"/>
  <c r="R12" i="1"/>
  <c r="S9" i="1"/>
  <c r="T18" i="1"/>
  <c r="T16" i="1"/>
  <c r="T17" i="1"/>
  <c r="U14" i="1"/>
  <c r="AM44" i="2" l="1"/>
  <c r="AN40" i="2"/>
  <c r="AM45" i="2"/>
  <c r="AO52" i="2"/>
  <c r="AN57" i="2"/>
  <c r="S13" i="1"/>
  <c r="S11" i="1"/>
  <c r="S12" i="1"/>
  <c r="T9" i="1"/>
  <c r="S8" i="1"/>
  <c r="T4" i="1"/>
  <c r="S6" i="1"/>
  <c r="S7" i="1"/>
  <c r="U17" i="1"/>
  <c r="U16" i="1"/>
  <c r="V14" i="1"/>
  <c r="U18" i="1"/>
  <c r="AN45" i="2" l="1"/>
  <c r="AO40" i="2"/>
  <c r="AO57" i="2"/>
  <c r="AP52" i="2"/>
  <c r="W14" i="1"/>
  <c r="V16" i="1"/>
  <c r="V18" i="1"/>
  <c r="V17" i="1"/>
  <c r="U4" i="1"/>
  <c r="T6" i="1"/>
  <c r="T8" i="1"/>
  <c r="T7" i="1"/>
  <c r="U9" i="1"/>
  <c r="T12" i="1"/>
  <c r="T13" i="1"/>
  <c r="T11" i="1"/>
  <c r="AO45" i="2" l="1"/>
  <c r="AP40" i="2"/>
  <c r="AQ52" i="2"/>
  <c r="AP57" i="2"/>
  <c r="U6" i="1"/>
  <c r="V4" i="1"/>
  <c r="U8" i="1"/>
  <c r="U7" i="1"/>
  <c r="U13" i="1"/>
  <c r="U11" i="1"/>
  <c r="V9" i="1"/>
  <c r="U12" i="1"/>
  <c r="W18" i="1"/>
  <c r="W16" i="1"/>
  <c r="X14" i="1"/>
  <c r="W17" i="1"/>
  <c r="AQ40" i="2" l="1"/>
  <c r="AP45" i="2"/>
  <c r="AR52" i="2"/>
  <c r="AQ57" i="2"/>
  <c r="Y14" i="1"/>
  <c r="X16" i="1"/>
  <c r="X18" i="1"/>
  <c r="X17" i="1"/>
  <c r="W9" i="1"/>
  <c r="V13" i="1"/>
  <c r="V12" i="1"/>
  <c r="V11" i="1"/>
  <c r="W4" i="1"/>
  <c r="V8" i="1"/>
  <c r="V6" i="1"/>
  <c r="V7" i="1"/>
  <c r="AQ45" i="2" l="1"/>
  <c r="AR40" i="2"/>
  <c r="AS52" i="2"/>
  <c r="AR57" i="2"/>
  <c r="X4" i="1"/>
  <c r="W7" i="1"/>
  <c r="W8" i="1"/>
  <c r="W6" i="1"/>
  <c r="W12" i="1"/>
  <c r="W13" i="1"/>
  <c r="W11" i="1"/>
  <c r="X9" i="1"/>
  <c r="Z14" i="1"/>
  <c r="Y18" i="1"/>
  <c r="Y17" i="1"/>
  <c r="Y16" i="1"/>
  <c r="AS40" i="2" l="1"/>
  <c r="AR45" i="2"/>
  <c r="X12" i="1"/>
  <c r="X11" i="1"/>
  <c r="Y9" i="1"/>
  <c r="X13" i="1"/>
  <c r="Z18" i="1"/>
  <c r="Z17" i="1"/>
  <c r="AA14" i="1"/>
  <c r="Z16" i="1"/>
  <c r="X7" i="1"/>
  <c r="X8" i="1"/>
  <c r="X6" i="1"/>
  <c r="Y4" i="1"/>
  <c r="AA17" i="1" l="1"/>
  <c r="AA18" i="1"/>
  <c r="AA16" i="1"/>
  <c r="AB14" i="1"/>
  <c r="Y12" i="1"/>
  <c r="Y13" i="1"/>
  <c r="Y11" i="1"/>
  <c r="Z9" i="1"/>
  <c r="Y8" i="1"/>
  <c r="Y6" i="1"/>
  <c r="Y7" i="1"/>
  <c r="Z4" i="1"/>
  <c r="Z7" i="1" l="1"/>
  <c r="Z6" i="1"/>
  <c r="Z8" i="1"/>
  <c r="AA4" i="1"/>
  <c r="AB16" i="1"/>
  <c r="AB18" i="1"/>
  <c r="AB17" i="1"/>
  <c r="AC14" i="1"/>
  <c r="Z11" i="1"/>
  <c r="Z13" i="1"/>
  <c r="Z12" i="1"/>
  <c r="AA9" i="1"/>
  <c r="AA12" i="1" l="1"/>
  <c r="AA13" i="1"/>
  <c r="AA11" i="1"/>
  <c r="AB9" i="1"/>
  <c r="AC18" i="1"/>
  <c r="AC17" i="1"/>
  <c r="AC16" i="1"/>
  <c r="AD14" i="1"/>
  <c r="AA8" i="1"/>
  <c r="AA7" i="1"/>
  <c r="AA6" i="1"/>
  <c r="AB4" i="1"/>
  <c r="AC4" i="1" l="1"/>
  <c r="AB8" i="1"/>
  <c r="AB7" i="1"/>
  <c r="AB6" i="1"/>
  <c r="AE14" i="1"/>
  <c r="AD17" i="1"/>
  <c r="AD16" i="1"/>
  <c r="AD18" i="1"/>
  <c r="AC9" i="1"/>
  <c r="AB13" i="1"/>
  <c r="AB11" i="1"/>
  <c r="AB12" i="1"/>
  <c r="AC13" i="1" l="1"/>
  <c r="AC11" i="1"/>
  <c r="AC12" i="1"/>
  <c r="AD9" i="1"/>
  <c r="AE18" i="1"/>
  <c r="AE16" i="1"/>
  <c r="AF14" i="1"/>
  <c r="AE17" i="1"/>
  <c r="AC6" i="1"/>
  <c r="AD4" i="1"/>
  <c r="AC7" i="1"/>
  <c r="AC8" i="1"/>
  <c r="AE9" i="1" l="1"/>
  <c r="AD13" i="1"/>
  <c r="AD11" i="1"/>
  <c r="AD12" i="1"/>
  <c r="AE4" i="1"/>
  <c r="AD7" i="1"/>
  <c r="AD6" i="1"/>
  <c r="AD8" i="1"/>
  <c r="AG14" i="1"/>
  <c r="AF18" i="1"/>
  <c r="AF17" i="1"/>
  <c r="AF16" i="1"/>
  <c r="AF4" i="1" l="1"/>
  <c r="AE8" i="1"/>
  <c r="AE7" i="1"/>
  <c r="AE6" i="1"/>
  <c r="AH14" i="1"/>
  <c r="AG18" i="1"/>
  <c r="AG17" i="1"/>
  <c r="AG16" i="1"/>
  <c r="AF9" i="1"/>
  <c r="AE11" i="1"/>
  <c r="AE13" i="1"/>
  <c r="AE12" i="1"/>
  <c r="AI14" i="1" l="1"/>
  <c r="AH18" i="1"/>
  <c r="AH17" i="1"/>
  <c r="AH16" i="1"/>
  <c r="AG9" i="1"/>
  <c r="AF11" i="1"/>
  <c r="AF13" i="1"/>
  <c r="AF12" i="1"/>
  <c r="AF7" i="1"/>
  <c r="AG4" i="1"/>
  <c r="AF8" i="1"/>
  <c r="AF6" i="1"/>
  <c r="AG8" i="1" l="1"/>
  <c r="AG7" i="1"/>
  <c r="AG6" i="1"/>
  <c r="AH4" i="1"/>
  <c r="AG12" i="1"/>
  <c r="AG11" i="1"/>
  <c r="AG13" i="1"/>
  <c r="AH9" i="1"/>
  <c r="AI17" i="1"/>
  <c r="AI18" i="1"/>
  <c r="AI16" i="1"/>
  <c r="AJ14" i="1"/>
  <c r="AJ18" i="1" l="1"/>
  <c r="AJ17" i="1"/>
  <c r="AJ16" i="1"/>
  <c r="AK14" i="1"/>
  <c r="AH11" i="1"/>
  <c r="AH13" i="1"/>
  <c r="AH12" i="1"/>
  <c r="AI9" i="1"/>
  <c r="AH8" i="1"/>
  <c r="AH7" i="1"/>
  <c r="AH6" i="1"/>
  <c r="AI4" i="1"/>
  <c r="AI13" i="1" l="1"/>
  <c r="AI12" i="1"/>
  <c r="AI11" i="1"/>
  <c r="AJ9" i="1"/>
  <c r="AI8" i="1"/>
  <c r="AI7" i="1"/>
  <c r="AI6" i="1"/>
  <c r="AJ4" i="1"/>
  <c r="AK18" i="1"/>
  <c r="AK17" i="1"/>
  <c r="AK16" i="1"/>
  <c r="AL14" i="1"/>
  <c r="AJ7" i="1" l="1"/>
  <c r="AJ6" i="1"/>
  <c r="AK4" i="1"/>
  <c r="AJ8" i="1"/>
  <c r="AM14" i="1"/>
  <c r="AL18" i="1"/>
  <c r="AL17" i="1"/>
  <c r="AL16" i="1"/>
  <c r="AK9" i="1"/>
  <c r="AJ13" i="1"/>
  <c r="AJ11" i="1"/>
  <c r="AJ12" i="1"/>
  <c r="AM18" i="1" l="1"/>
  <c r="AM16" i="1"/>
  <c r="AM17" i="1"/>
  <c r="AN14" i="1"/>
  <c r="AK6" i="1"/>
  <c r="AL4" i="1"/>
  <c r="AK8" i="1"/>
  <c r="AK7" i="1"/>
  <c r="AK13" i="1"/>
  <c r="AK11" i="1"/>
  <c r="AK12" i="1"/>
  <c r="AL9" i="1"/>
  <c r="AL13" i="1" l="1"/>
  <c r="AL12" i="1"/>
  <c r="AL11" i="1"/>
  <c r="AM9" i="1"/>
  <c r="AN16" i="1"/>
  <c r="AO14" i="1"/>
  <c r="AN18" i="1"/>
  <c r="AN17" i="1"/>
  <c r="AM4" i="1"/>
  <c r="AL6" i="1"/>
  <c r="AL8" i="1"/>
  <c r="AL7" i="1"/>
  <c r="AP14" i="1" l="1"/>
  <c r="AO16" i="1"/>
  <c r="AO18" i="1"/>
  <c r="AO17" i="1"/>
  <c r="AN4" i="1"/>
  <c r="AM6" i="1"/>
  <c r="AM8" i="1"/>
  <c r="AM7" i="1"/>
  <c r="AN9" i="1"/>
  <c r="AM13" i="1"/>
  <c r="AM12" i="1"/>
  <c r="AM11" i="1"/>
  <c r="AN7" i="1" l="1"/>
  <c r="AO4" i="1"/>
  <c r="AN8" i="1"/>
  <c r="AN6" i="1"/>
  <c r="AO9" i="1"/>
  <c r="AN13" i="1"/>
  <c r="AN12" i="1"/>
  <c r="AN11" i="1"/>
  <c r="AQ14" i="1"/>
  <c r="AP16" i="1"/>
  <c r="AP18" i="1"/>
  <c r="AP17" i="1"/>
  <c r="AQ17" i="1" l="1"/>
  <c r="AR14" i="1"/>
  <c r="AQ18" i="1"/>
  <c r="AQ16" i="1"/>
  <c r="AO12" i="1"/>
  <c r="AO13" i="1"/>
  <c r="AO11" i="1"/>
  <c r="AP9" i="1"/>
  <c r="AP4" i="1"/>
  <c r="AO8" i="1"/>
  <c r="AO6" i="1"/>
  <c r="AO7" i="1"/>
  <c r="AP8" i="1" l="1"/>
  <c r="AP6" i="1"/>
  <c r="AP7" i="1"/>
  <c r="AQ4" i="1"/>
  <c r="AP12" i="1"/>
  <c r="AP11" i="1"/>
  <c r="AQ9" i="1"/>
  <c r="AP13" i="1"/>
  <c r="AR18" i="1"/>
  <c r="AR17" i="1"/>
  <c r="AS14" i="1"/>
  <c r="AR16" i="1"/>
  <c r="AS18" i="1" l="1"/>
  <c r="AS17" i="1"/>
  <c r="AS16" i="1"/>
  <c r="AQ11" i="1"/>
  <c r="AQ13" i="1"/>
  <c r="AQ12" i="1"/>
  <c r="AR9" i="1"/>
  <c r="AQ8" i="1"/>
  <c r="AQ6" i="1"/>
  <c r="AQ7" i="1"/>
  <c r="AR4" i="1"/>
  <c r="K23" i="3"/>
  <c r="L23" i="3" s="1"/>
  <c r="AR8" i="1" l="1"/>
  <c r="AR7" i="1"/>
  <c r="AR6" i="1"/>
  <c r="AS4" i="1"/>
  <c r="AS9" i="1"/>
  <c r="AR13" i="1"/>
  <c r="AR11" i="1"/>
  <c r="AR12" i="1"/>
  <c r="AS9" i="2"/>
  <c r="AR9" i="2"/>
  <c r="AQ9" i="2"/>
  <c r="AP9" i="2"/>
  <c r="AO9" i="2"/>
  <c r="AN9" i="2"/>
  <c r="AM9" i="2"/>
  <c r="AL9" i="2"/>
  <c r="AK9" i="2"/>
  <c r="AJ9" i="2"/>
  <c r="AI9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S13" i="1" l="1"/>
  <c r="AS11" i="1"/>
  <c r="AS12" i="1"/>
  <c r="AS6" i="1"/>
  <c r="AS7" i="1"/>
  <c r="AS8" i="1"/>
  <c r="AC3" i="5"/>
  <c r="S3" i="5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E1" i="5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J3" i="5" l="1"/>
  <c r="K3" i="5" s="1"/>
  <c r="L3" i="5" s="1"/>
  <c r="M3" i="5" s="1"/>
  <c r="N3" i="5" s="1"/>
  <c r="O3" i="5" s="1"/>
  <c r="P3" i="5" s="1"/>
  <c r="Q3" i="5" s="1"/>
  <c r="R3" i="5" s="1"/>
  <c r="T3" i="5"/>
  <c r="U3" i="5" s="1"/>
  <c r="V3" i="5"/>
  <c r="W3" i="5" s="1"/>
  <c r="X3" i="5" s="1"/>
  <c r="Y3" i="5" s="1"/>
  <c r="Z3" i="5" s="1"/>
  <c r="AA3" i="5" s="1"/>
  <c r="AB3" i="5" s="1"/>
  <c r="AD3" i="5"/>
  <c r="AE3" i="5" s="1"/>
  <c r="AF3" i="5" s="1"/>
  <c r="AG3" i="5" s="1"/>
  <c r="AH3" i="5" s="1"/>
  <c r="AI3" i="5" s="1"/>
  <c r="AJ3" i="5" s="1"/>
  <c r="AK3" i="5" s="1"/>
  <c r="AL3" i="5" s="1"/>
  <c r="AM3" i="5" s="1"/>
  <c r="C6" i="3" l="1"/>
  <c r="F6" i="3" s="1"/>
  <c r="C7" i="3"/>
  <c r="C9" i="3"/>
  <c r="F9" i="3" s="1"/>
  <c r="B7" i="3"/>
  <c r="B9" i="3"/>
  <c r="E9" i="3" s="1"/>
  <c r="H9" i="3" s="1"/>
  <c r="I9" i="3" s="1"/>
  <c r="B6" i="3"/>
  <c r="E6" i="3" s="1"/>
  <c r="H6" i="3" s="1"/>
  <c r="I6" i="3" s="1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J23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J22" i="2"/>
  <c r="K16" i="2"/>
  <c r="K17" i="2" s="1"/>
  <c r="L16" i="2"/>
  <c r="L17" i="2" s="1"/>
  <c r="M16" i="2"/>
  <c r="M19" i="2" s="1"/>
  <c r="N16" i="2"/>
  <c r="N18" i="2" s="1"/>
  <c r="O16" i="2"/>
  <c r="O19" i="2" s="1"/>
  <c r="P16" i="2"/>
  <c r="P19" i="2" s="1"/>
  <c r="Q16" i="2"/>
  <c r="Q19" i="2" s="1"/>
  <c r="R16" i="2"/>
  <c r="R18" i="2" s="1"/>
  <c r="R21" i="2" s="1"/>
  <c r="S16" i="2"/>
  <c r="S17" i="2" s="1"/>
  <c r="T16" i="2"/>
  <c r="T19" i="2" s="1"/>
  <c r="U16" i="2"/>
  <c r="U17" i="2" s="1"/>
  <c r="V16" i="2"/>
  <c r="V19" i="2" s="1"/>
  <c r="W16" i="2"/>
  <c r="W19" i="2" s="1"/>
  <c r="X16" i="2"/>
  <c r="X18" i="2" s="1"/>
  <c r="X21" i="2" s="1"/>
  <c r="Y16" i="2"/>
  <c r="Y18" i="2" s="1"/>
  <c r="Y21" i="2" s="1"/>
  <c r="Z16" i="2"/>
  <c r="Z18" i="2" s="1"/>
  <c r="Z21" i="2" s="1"/>
  <c r="AA16" i="2"/>
  <c r="AA18" i="2" s="1"/>
  <c r="AB16" i="2"/>
  <c r="AB19" i="2" s="1"/>
  <c r="AC16" i="2"/>
  <c r="AC21" i="2" s="1"/>
  <c r="AD16" i="2"/>
  <c r="AD21" i="2" s="1"/>
  <c r="AE16" i="2"/>
  <c r="AE21" i="2" s="1"/>
  <c r="AF16" i="2"/>
  <c r="AF21" i="2" s="1"/>
  <c r="AG16" i="2"/>
  <c r="AG21" i="2" s="1"/>
  <c r="AH16" i="2"/>
  <c r="AH19" i="2" s="1"/>
  <c r="AI16" i="2"/>
  <c r="AI20" i="2" s="1"/>
  <c r="AJ16" i="2"/>
  <c r="AJ20" i="2" s="1"/>
  <c r="AK16" i="2"/>
  <c r="AK21" i="2" s="1"/>
  <c r="AL16" i="2"/>
  <c r="AL21" i="2" s="1"/>
  <c r="AM16" i="2"/>
  <c r="AM21" i="2" s="1"/>
  <c r="AN16" i="2"/>
  <c r="AN21" i="2" s="1"/>
  <c r="AO16" i="2"/>
  <c r="AO21" i="2" s="1"/>
  <c r="AP16" i="2"/>
  <c r="AP21" i="2" s="1"/>
  <c r="AQ16" i="2"/>
  <c r="AQ21" i="2" s="1"/>
  <c r="AR16" i="2"/>
  <c r="AR21" i="2" s="1"/>
  <c r="AS16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Y17" i="2" s="1"/>
  <c r="Z14" i="2"/>
  <c r="Z17" i="2" s="1"/>
  <c r="AA14" i="2"/>
  <c r="AA17" i="2" s="1"/>
  <c r="AB14" i="2"/>
  <c r="AB17" i="2" s="1"/>
  <c r="AC14" i="2"/>
  <c r="AC17" i="2" s="1"/>
  <c r="AD14" i="2"/>
  <c r="AD18" i="2" s="1"/>
  <c r="AE14" i="2"/>
  <c r="AE17" i="2" s="1"/>
  <c r="AF14" i="2"/>
  <c r="AF18" i="2" s="1"/>
  <c r="AG14" i="2"/>
  <c r="AG18" i="2" s="1"/>
  <c r="AH14" i="2"/>
  <c r="AH17" i="2" s="1"/>
  <c r="AI14" i="2"/>
  <c r="AI19" i="2" s="1"/>
  <c r="AJ14" i="2"/>
  <c r="AJ18" i="2" s="1"/>
  <c r="AK14" i="2"/>
  <c r="AK18" i="2" s="1"/>
  <c r="AL14" i="2"/>
  <c r="AL18" i="2" s="1"/>
  <c r="AM14" i="2"/>
  <c r="AM18" i="2" s="1"/>
  <c r="AN14" i="2"/>
  <c r="AN18" i="2" s="1"/>
  <c r="AN20" i="2" s="1"/>
  <c r="AO14" i="2"/>
  <c r="AO18" i="2" s="1"/>
  <c r="AO20" i="2" s="1"/>
  <c r="AP14" i="2"/>
  <c r="AP19" i="2" s="1"/>
  <c r="AQ14" i="2"/>
  <c r="AQ19" i="2" s="1"/>
  <c r="AR14" i="2"/>
  <c r="AR17" i="2" s="1"/>
  <c r="AS14" i="2"/>
  <c r="AS19" i="2" s="1"/>
  <c r="J14" i="2"/>
  <c r="J16" i="2"/>
  <c r="J17" i="2" s="1"/>
  <c r="AJ25" i="2"/>
  <c r="AK25" i="2" s="1"/>
  <c r="AL25" i="2" s="1"/>
  <c r="AM25" i="2" s="1"/>
  <c r="AN25" i="2" s="1"/>
  <c r="AO25" i="2" s="1"/>
  <c r="AP25" i="2" s="1"/>
  <c r="AQ25" i="2" s="1"/>
  <c r="AR25" i="2" s="1"/>
  <c r="AS25" i="2" s="1"/>
  <c r="AJ24" i="2"/>
  <c r="AK24" i="2" s="1"/>
  <c r="AL24" i="2" s="1"/>
  <c r="AM24" i="2" s="1"/>
  <c r="AN24" i="2" s="1"/>
  <c r="AO24" i="2" s="1"/>
  <c r="AP24" i="2" s="1"/>
  <c r="AQ24" i="2" s="1"/>
  <c r="AR24" i="2" s="1"/>
  <c r="AS24" i="2" s="1"/>
  <c r="A15" i="2"/>
  <c r="A16" i="2" s="1"/>
  <c r="A17" i="2" s="1"/>
  <c r="A18" i="2" s="1"/>
  <c r="A19" i="2" s="1"/>
  <c r="K18" i="2" l="1"/>
  <c r="K21" i="2" s="1"/>
  <c r="E7" i="3"/>
  <c r="H7" i="3" s="1"/>
  <c r="I7" i="3" s="1"/>
  <c r="B8" i="3"/>
  <c r="E8" i="3" s="1"/>
  <c r="H8" i="3" s="1"/>
  <c r="I8" i="3" s="1"/>
  <c r="F7" i="3"/>
  <c r="C8" i="3"/>
  <c r="F8" i="3" s="1"/>
  <c r="V17" i="2"/>
  <c r="O17" i="2"/>
  <c r="X17" i="2"/>
  <c r="AF17" i="2"/>
  <c r="AM17" i="2"/>
  <c r="AM19" i="2"/>
  <c r="AN19" i="2"/>
  <c r="AS17" i="2"/>
  <c r="T18" i="2"/>
  <c r="T20" i="2" s="1"/>
  <c r="T17" i="2"/>
  <c r="AS18" i="2"/>
  <c r="AS20" i="2" s="1"/>
  <c r="AR18" i="2"/>
  <c r="AR20" i="2" s="1"/>
  <c r="K19" i="2"/>
  <c r="W17" i="2"/>
  <c r="L18" i="2"/>
  <c r="L20" i="2" s="1"/>
  <c r="L19" i="2"/>
  <c r="AK20" i="2"/>
  <c r="U18" i="2"/>
  <c r="U20" i="2" s="1"/>
  <c r="U19" i="2"/>
  <c r="AG17" i="2"/>
  <c r="AB18" i="2"/>
  <c r="AB20" i="2" s="1"/>
  <c r="AK17" i="2"/>
  <c r="AK19" i="2"/>
  <c r="N21" i="2"/>
  <c r="N20" i="2"/>
  <c r="AL20" i="2"/>
  <c r="J18" i="2"/>
  <c r="J21" i="2" s="1"/>
  <c r="V18" i="2"/>
  <c r="V20" i="2" s="1"/>
  <c r="J19" i="2"/>
  <c r="AA19" i="2"/>
  <c r="AM20" i="2"/>
  <c r="A20" i="2"/>
  <c r="A21" i="2" s="1"/>
  <c r="A22" i="2" s="1"/>
  <c r="A23" i="2" s="1"/>
  <c r="A24" i="2" s="1"/>
  <c r="A25" i="2" s="1"/>
  <c r="N17" i="2"/>
  <c r="AC18" i="2"/>
  <c r="AC19" i="2"/>
  <c r="M18" i="2"/>
  <c r="M20" i="2" s="1"/>
  <c r="AE18" i="2"/>
  <c r="N19" i="2"/>
  <c r="AD19" i="2"/>
  <c r="AC20" i="2"/>
  <c r="M17" i="2"/>
  <c r="AJ17" i="2"/>
  <c r="S19" i="2"/>
  <c r="AJ19" i="2"/>
  <c r="AD20" i="2"/>
  <c r="AI21" i="2"/>
  <c r="S18" i="2"/>
  <c r="AE20" i="2"/>
  <c r="AJ21" i="2"/>
  <c r="AA20" i="2"/>
  <c r="AA21" i="2"/>
  <c r="X20" i="2"/>
  <c r="Y20" i="2"/>
  <c r="AG20" i="2"/>
  <c r="AS21" i="2"/>
  <c r="Q17" i="2"/>
  <c r="AN17" i="2"/>
  <c r="W18" i="2"/>
  <c r="AE19" i="2"/>
  <c r="AR19" i="2"/>
  <c r="R20" i="2"/>
  <c r="Z20" i="2"/>
  <c r="AH20" i="2"/>
  <c r="AO19" i="2"/>
  <c r="AO17" i="2"/>
  <c r="O18" i="2"/>
  <c r="AF19" i="2"/>
  <c r="K20" i="2"/>
  <c r="AF20" i="2"/>
  <c r="P17" i="2"/>
  <c r="P18" i="2"/>
  <c r="X19" i="2"/>
  <c r="AG19" i="2"/>
  <c r="Q18" i="2"/>
  <c r="Y19" i="2"/>
  <c r="AH21" i="2"/>
  <c r="R17" i="2"/>
  <c r="R19" i="2"/>
  <c r="Z19" i="2"/>
  <c r="AD17" i="2"/>
  <c r="AL17" i="2"/>
  <c r="AH18" i="2"/>
  <c r="AP18" i="2"/>
  <c r="AP20" i="2" s="1"/>
  <c r="AL19" i="2"/>
  <c r="AI18" i="2"/>
  <c r="AQ18" i="2"/>
  <c r="AQ20" i="2" s="1"/>
  <c r="AP17" i="2"/>
  <c r="AI17" i="2"/>
  <c r="AQ17" i="2"/>
  <c r="AJ13" i="2"/>
  <c r="AK13" i="2" s="1"/>
  <c r="AL13" i="2" s="1"/>
  <c r="AM13" i="2" s="1"/>
  <c r="AN13" i="2" s="1"/>
  <c r="AO13" i="2" s="1"/>
  <c r="AP13" i="2" s="1"/>
  <c r="AQ13" i="2" s="1"/>
  <c r="AR13" i="2" s="1"/>
  <c r="AS13" i="2" s="1"/>
  <c r="AJ12" i="2"/>
  <c r="AK12" i="2" s="1"/>
  <c r="AL12" i="2" s="1"/>
  <c r="AM12" i="2" s="1"/>
  <c r="AN12" i="2" s="1"/>
  <c r="AO12" i="2" s="1"/>
  <c r="AP12" i="2" s="1"/>
  <c r="AQ12" i="2" s="1"/>
  <c r="AR12" i="2" s="1"/>
  <c r="AS12" i="2" s="1"/>
  <c r="AJ11" i="2"/>
  <c r="AK11" i="2" s="1"/>
  <c r="AL11" i="2" s="1"/>
  <c r="AM11" i="2" s="1"/>
  <c r="AN11" i="2" s="1"/>
  <c r="AO11" i="2" s="1"/>
  <c r="AP11" i="2" s="1"/>
  <c r="AQ11" i="2" s="1"/>
  <c r="AR11" i="2" s="1"/>
  <c r="AS11" i="2" s="1"/>
  <c r="AJ10" i="2"/>
  <c r="AK10" i="2" s="1"/>
  <c r="AL10" i="2" s="1"/>
  <c r="AM10" i="2" s="1"/>
  <c r="AN10" i="2" s="1"/>
  <c r="AO10" i="2" s="1"/>
  <c r="AP10" i="2" s="1"/>
  <c r="AQ10" i="2" s="1"/>
  <c r="AR10" i="2" s="1"/>
  <c r="AS10" i="2" s="1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AS6" i="2"/>
  <c r="AR6" i="2"/>
  <c r="AQ6" i="2"/>
  <c r="AP6" i="2"/>
  <c r="AO6" i="2"/>
  <c r="AN6" i="2"/>
  <c r="AM6" i="2"/>
  <c r="AL6" i="2"/>
  <c r="AK6" i="2"/>
  <c r="AJ6" i="2"/>
  <c r="AI6" i="2"/>
  <c r="AH6" i="2"/>
  <c r="AH9" i="2" s="1"/>
  <c r="AG6" i="2"/>
  <c r="AG9" i="2" s="1"/>
  <c r="AF6" i="2"/>
  <c r="AF9" i="2" s="1"/>
  <c r="AE6" i="2"/>
  <c r="AE9" i="2" s="1"/>
  <c r="AD6" i="2"/>
  <c r="AD9" i="2" s="1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A3" i="2"/>
  <c r="A4" i="2" s="1"/>
  <c r="A5" i="2" s="1"/>
  <c r="A6" i="2" s="1"/>
  <c r="A7" i="2" s="1"/>
  <c r="A8" i="2" s="1"/>
  <c r="A9" i="2" s="1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T21" i="2" l="1"/>
  <c r="K8" i="2"/>
  <c r="K9" i="2"/>
  <c r="S8" i="2"/>
  <c r="S9" i="2"/>
  <c r="AA8" i="2"/>
  <c r="AA9" i="2"/>
  <c r="L9" i="2"/>
  <c r="L8" i="2"/>
  <c r="M9" i="2"/>
  <c r="M8" i="2"/>
  <c r="U9" i="2"/>
  <c r="U8" i="2"/>
  <c r="AC9" i="2"/>
  <c r="AC8" i="2"/>
  <c r="T9" i="2"/>
  <c r="T8" i="2"/>
  <c r="N8" i="2"/>
  <c r="N9" i="2"/>
  <c r="V8" i="2"/>
  <c r="V9" i="2"/>
  <c r="O8" i="2"/>
  <c r="O9" i="2"/>
  <c r="W9" i="2"/>
  <c r="W8" i="2"/>
  <c r="P8" i="2"/>
  <c r="P9" i="2"/>
  <c r="X8" i="2"/>
  <c r="X9" i="2"/>
  <c r="AB9" i="2"/>
  <c r="AB8" i="2"/>
  <c r="Q8" i="2"/>
  <c r="Q9" i="2"/>
  <c r="Y8" i="2"/>
  <c r="Y9" i="2"/>
  <c r="J9" i="2"/>
  <c r="J8" i="2"/>
  <c r="R9" i="2"/>
  <c r="R8" i="2"/>
  <c r="Z9" i="2"/>
  <c r="Z8" i="2"/>
  <c r="A10" i="2"/>
  <c r="A11" i="2" s="1"/>
  <c r="A12" i="2" s="1"/>
  <c r="A13" i="2" s="1"/>
  <c r="AB21" i="2"/>
  <c r="V21" i="2"/>
  <c r="L21" i="2"/>
  <c r="U21" i="2"/>
  <c r="J20" i="2"/>
  <c r="M21" i="2"/>
  <c r="S20" i="2"/>
  <c r="S21" i="2"/>
  <c r="Q21" i="2"/>
  <c r="Q20" i="2"/>
  <c r="P21" i="2"/>
  <c r="P20" i="2"/>
  <c r="W20" i="2"/>
  <c r="W21" i="2"/>
  <c r="O21" i="2"/>
  <c r="O20" i="2"/>
</calcChain>
</file>

<file path=xl/sharedStrings.xml><?xml version="1.0" encoding="utf-8"?>
<sst xmlns="http://schemas.openxmlformats.org/spreadsheetml/2006/main" count="246" uniqueCount="58">
  <si>
    <t>scenario</t>
  </si>
  <si>
    <t>station_name</t>
  </si>
  <si>
    <t>parameter</t>
  </si>
  <si>
    <t>fuel_price (R/GJ)</t>
  </si>
  <si>
    <t>IRP23</t>
  </si>
  <si>
    <t>ocgt_diesel</t>
  </si>
  <si>
    <t>R/GJ</t>
  </si>
  <si>
    <t>ocgt_diesel_emg</t>
  </si>
  <si>
    <t>ocgt_gas</t>
  </si>
  <si>
    <t>ocgt_gas_h2_40</t>
  </si>
  <si>
    <t>ocgt_gas_h2_45</t>
  </si>
  <si>
    <t>ocgt_gas_h2_50</t>
  </si>
  <si>
    <t>ocgt_gas_h2_55</t>
  </si>
  <si>
    <t>ocgt_gas_h2_60</t>
  </si>
  <si>
    <t>ccgt_steam</t>
  </si>
  <si>
    <t>coal</t>
  </si>
  <si>
    <t>nuclear</t>
  </si>
  <si>
    <t>solar_csp</t>
  </si>
  <si>
    <t>ME_IRP23</t>
  </si>
  <si>
    <t>CV</t>
  </si>
  <si>
    <t>GJ/kg</t>
  </si>
  <si>
    <t>ZAR:USD</t>
  </si>
  <si>
    <t>units</t>
  </si>
  <si>
    <t>none</t>
  </si>
  <si>
    <t>R/tCO2e</t>
  </si>
  <si>
    <t>LOW</t>
  </si>
  <si>
    <t>BASE</t>
  </si>
  <si>
    <t>HIGH</t>
  </si>
  <si>
    <t>emissions</t>
  </si>
  <si>
    <t>https://ora.ox.ac.uk/objects/uuid:475ce7d3-b6b8-42f6-8cb1-b33f56026689/files/r2801pg46c</t>
  </si>
  <si>
    <t>https://www.sciencedirect.com/science/article/abs/pii/S0306261920314549?via%3Dihub</t>
  </si>
  <si>
    <t>https://pubs.acs.org/doi/pdf/10.1021/acsenergylett.2c01615</t>
  </si>
  <si>
    <t>https://pubs.rsc.org/zh-tw/content/articlepdf/2024/ee/d3ee02951d</t>
  </si>
  <si>
    <t>variable_coal</t>
  </si>
  <si>
    <t>variable_diesel</t>
  </si>
  <si>
    <t>https://www.irena.org/-/media/Files/IRENA/Agency/Publication/2022/May/IRENA_Innovation_Outlook_Ammonia_2022.pdf</t>
  </si>
  <si>
    <t>$/t</t>
  </si>
  <si>
    <t>$/kg</t>
  </si>
  <si>
    <t>Komati</t>
  </si>
  <si>
    <t>Arnot</t>
  </si>
  <si>
    <t>Camden</t>
  </si>
  <si>
    <t>Duvha</t>
  </si>
  <si>
    <t>Grootvlei</t>
  </si>
  <si>
    <t>Hendrina</t>
  </si>
  <si>
    <t>Kendal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</si>
  <si>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</si>
  <si>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</si>
  <si>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</si>
  <si>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</si>
  <si>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</si>
  <si>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</si>
  <si>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</si>
  <si>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</si>
  <si>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ratio_vs_avg</t>
  </si>
  <si>
    <t>CALC</t>
  </si>
  <si>
    <t>low_group</t>
  </si>
  <si>
    <t>med_group</t>
  </si>
  <si>
    <t>high_group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</si>
</sst>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Aptos Narrow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3F3F3F"/>
      <name val="Aptos Narrow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Aptos Narrow"/>
      <family val="2"/>
      <charset val="1"/>
    </font>
    <font>
      <sz val="11"/>
      <color theme="0"/>
      <name val="Aptos Narrow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BE3D6"/>
      </patternFill>
    </fill>
    <fill>
      <patternFill patternType="solid">
        <fgColor theme="0"/>
        <bgColor rgb="FFF2F2F2"/>
      </patternFill>
    </fill>
    <fill>
      <patternFill patternType="solid">
        <fgColor theme="8" tint="0.79989013336588644"/>
        <bgColor rgb="FFFBE3D6"/>
      </patternFill>
    </fill>
    <fill>
      <patternFill patternType="solid">
        <fgColor theme="7" tint="0.79998168889431442"/>
        <bgColor rgb="FFFBE3D6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2F2F2"/>
        <bgColor rgb="FFE2F0D9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8" tint="0.79998168889431442"/>
        <bgColor rgb="FFCAEEFB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rgb="FFCAEEFB"/>
      </patternFill>
    </fill>
    <fill>
      <patternFill patternType="solid">
        <fgColor rgb="FF0070C0"/>
        <bgColor rgb="FFCCFFFF"/>
      </patternFill>
    </fill>
    <fill>
      <patternFill patternType="solid">
        <fgColor theme="0" tint="-0.499984740745262"/>
        <b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3">
    <xf numFmtId="0" fontId="0" fillId="0" borderId="0"/>
    <xf numFmtId="0" fontId="2" fillId="2" borderId="1" applyProtection="0"/>
    <xf numFmtId="0" fontId="4" fillId="3" borderId="2" applyProtection="0"/>
  </cellStyleXfs>
  <cellXfs count="78">
    <xf numFmtId="0" fontId="0" fillId="0" borderId="0" xfId="0"/>
    <xf numFmtId="0" fontId="1" fillId="2" borderId="3" xfId="1" applyFont="1" applyBorder="1" applyAlignment="1" applyProtection="1">
      <alignment horizontal="left" vertical="center" wrapText="1"/>
    </xf>
    <xf numFmtId="0" fontId="1" fillId="2" borderId="3" xfId="1" applyFont="1" applyBorder="1" applyAlignment="1" applyProtection="1">
      <alignment horizontal="right" vertical="center" wrapText="1"/>
    </xf>
    <xf numFmtId="0" fontId="3" fillId="4" borderId="0" xfId="2" applyFont="1" applyFill="1" applyBorder="1" applyAlignment="1" applyProtection="1">
      <alignment horizontal="left"/>
    </xf>
    <xf numFmtId="0" fontId="3" fillId="4" borderId="0" xfId="2" applyFont="1" applyFill="1" applyBorder="1" applyAlignment="1" applyProtection="1">
      <alignment horizontal="right"/>
    </xf>
    <xf numFmtId="0" fontId="0" fillId="4" borderId="0" xfId="0" applyFill="1"/>
    <xf numFmtId="1" fontId="5" fillId="4" borderId="0" xfId="0" applyNumberFormat="1" applyFont="1" applyFill="1"/>
    <xf numFmtId="0" fontId="3" fillId="2" borderId="0" xfId="2" applyFont="1" applyFill="1" applyBorder="1" applyAlignment="1" applyProtection="1">
      <alignment horizontal="left"/>
    </xf>
    <xf numFmtId="0" fontId="3" fillId="4" borderId="0" xfId="2" applyFont="1" applyFill="1" applyBorder="1" applyProtection="1"/>
    <xf numFmtId="0" fontId="0" fillId="4" borderId="0" xfId="0" applyFill="1" applyAlignment="1">
      <alignment horizontal="right"/>
    </xf>
    <xf numFmtId="0" fontId="0" fillId="5" borderId="0" xfId="0" applyFill="1"/>
    <xf numFmtId="1" fontId="5" fillId="0" borderId="0" xfId="0" applyNumberFormat="1" applyFont="1"/>
    <xf numFmtId="1" fontId="1" fillId="2" borderId="3" xfId="1" applyNumberFormat="1" applyFont="1" applyBorder="1" applyAlignment="1" applyProtection="1">
      <alignment horizontal="right" vertical="center" wrapText="1"/>
    </xf>
    <xf numFmtId="1" fontId="6" fillId="0" borderId="3" xfId="0" applyNumberFormat="1" applyFont="1" applyBorder="1"/>
    <xf numFmtId="1" fontId="3" fillId="2" borderId="0" xfId="2" applyNumberFormat="1" applyFont="1" applyFill="1" applyBorder="1" applyAlignment="1" applyProtection="1">
      <alignment horizontal="right"/>
    </xf>
    <xf numFmtId="1" fontId="3" fillId="4" borderId="0" xfId="2" applyNumberFormat="1" applyFont="1" applyFill="1" applyBorder="1" applyAlignment="1" applyProtection="1">
      <alignment horizontal="right"/>
    </xf>
    <xf numFmtId="0" fontId="3" fillId="2" borderId="3" xfId="2" applyFont="1" applyFill="1" applyBorder="1" applyAlignment="1" applyProtection="1">
      <alignment horizontal="left"/>
    </xf>
    <xf numFmtId="0" fontId="0" fillId="5" borderId="3" xfId="0" applyFill="1" applyBorder="1"/>
    <xf numFmtId="0" fontId="0" fillId="6" borderId="0" xfId="0" applyFill="1"/>
    <xf numFmtId="0" fontId="0" fillId="6" borderId="3" xfId="0" applyFill="1" applyBorder="1"/>
    <xf numFmtId="1" fontId="0" fillId="7" borderId="0" xfId="0" applyNumberFormat="1" applyFill="1" applyAlignment="1">
      <alignment horizontal="right"/>
    </xf>
    <xf numFmtId="1" fontId="5" fillId="8" borderId="0" xfId="0" applyNumberFormat="1" applyFont="1" applyFill="1"/>
    <xf numFmtId="1" fontId="5" fillId="11" borderId="0" xfId="0" applyNumberFormat="1" applyFont="1" applyFill="1"/>
    <xf numFmtId="1" fontId="5" fillId="12" borderId="0" xfId="0" applyNumberFormat="1" applyFont="1" applyFill="1"/>
    <xf numFmtId="1" fontId="3" fillId="8" borderId="0" xfId="2" applyNumberFormat="1" applyFont="1" applyFill="1" applyBorder="1" applyAlignment="1" applyProtection="1">
      <alignment horizontal="right"/>
    </xf>
    <xf numFmtId="1" fontId="3" fillId="9" borderId="0" xfId="2" applyNumberFormat="1" applyFont="1" applyFill="1" applyBorder="1" applyAlignment="1" applyProtection="1">
      <alignment horizontal="right"/>
    </xf>
    <xf numFmtId="1" fontId="3" fillId="12" borderId="0" xfId="2" applyNumberFormat="1" applyFont="1" applyFill="1" applyBorder="1" applyAlignment="1" applyProtection="1">
      <alignment horizontal="right"/>
    </xf>
    <xf numFmtId="1" fontId="3" fillId="13" borderId="0" xfId="2" applyNumberFormat="1" applyFont="1" applyFill="1" applyBorder="1" applyAlignment="1" applyProtection="1">
      <alignment horizontal="right"/>
    </xf>
    <xf numFmtId="1" fontId="3" fillId="10" borderId="0" xfId="2" applyNumberFormat="1" applyFont="1" applyFill="1" applyBorder="1" applyAlignment="1" applyProtection="1">
      <alignment horizontal="right"/>
    </xf>
    <xf numFmtId="1" fontId="3" fillId="11" borderId="0" xfId="2" applyNumberFormat="1" applyFont="1" applyFill="1" applyBorder="1" applyAlignment="1" applyProtection="1">
      <alignment horizontal="right"/>
    </xf>
    <xf numFmtId="0" fontId="2" fillId="2" borderId="1" xfId="1" applyAlignment="1" applyProtection="1">
      <alignment horizontal="left" vertical="center" wrapText="1"/>
    </xf>
    <xf numFmtId="0" fontId="2" fillId="2" borderId="1" xfId="1" applyAlignment="1" applyProtection="1">
      <alignment horizontal="right" vertical="center" wrapText="1"/>
    </xf>
    <xf numFmtId="0" fontId="2" fillId="2" borderId="5" xfId="1" applyBorder="1" applyAlignment="1" applyProtection="1">
      <alignment horizontal="right" vertical="center" wrapText="1"/>
    </xf>
    <xf numFmtId="1" fontId="0" fillId="4" borderId="0" xfId="0" applyNumberFormat="1" applyFill="1"/>
    <xf numFmtId="1" fontId="0" fillId="0" borderId="0" xfId="0" applyNumberFormat="1"/>
    <xf numFmtId="0" fontId="0" fillId="15" borderId="0" xfId="0" applyFill="1"/>
    <xf numFmtId="0" fontId="0" fillId="14" borderId="0" xfId="0" applyFill="1" applyAlignment="1">
      <alignment horizontal="right"/>
    </xf>
    <xf numFmtId="0" fontId="0" fillId="14" borderId="0" xfId="0" applyFill="1"/>
    <xf numFmtId="1" fontId="0" fillId="14" borderId="0" xfId="0" applyNumberFormat="1" applyFill="1"/>
    <xf numFmtId="0" fontId="0" fillId="16" borderId="0" xfId="0" applyFill="1"/>
    <xf numFmtId="0" fontId="0" fillId="0" borderId="0" xfId="0" applyAlignment="1">
      <alignment horizontal="right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3" fillId="20" borderId="0" xfId="2" applyFont="1" applyFill="1" applyBorder="1" applyAlignment="1" applyProtection="1">
      <alignment horizontal="left"/>
    </xf>
    <xf numFmtId="0" fontId="3" fillId="21" borderId="0" xfId="2" applyFont="1" applyFill="1" applyBorder="1" applyAlignment="1" applyProtection="1">
      <alignment horizontal="left"/>
    </xf>
    <xf numFmtId="0" fontId="3" fillId="20" borderId="3" xfId="2" applyFont="1" applyFill="1" applyBorder="1" applyAlignment="1" applyProtection="1">
      <alignment horizontal="left"/>
    </xf>
    <xf numFmtId="1" fontId="3" fillId="21" borderId="0" xfId="2" applyNumberFormat="1" applyFont="1" applyFill="1" applyBorder="1" applyAlignment="1" applyProtection="1">
      <alignment horizontal="right"/>
    </xf>
    <xf numFmtId="1" fontId="3" fillId="20" borderId="0" xfId="2" applyNumberFormat="1" applyFont="1" applyFill="1" applyBorder="1" applyAlignment="1" applyProtection="1">
      <alignment horizontal="right"/>
    </xf>
    <xf numFmtId="1" fontId="3" fillId="22" borderId="0" xfId="2" applyNumberFormat="1" applyFont="1" applyFill="1" applyBorder="1" applyAlignment="1" applyProtection="1">
      <alignment horizontal="right"/>
    </xf>
    <xf numFmtId="1" fontId="3" fillId="23" borderId="0" xfId="2" applyNumberFormat="1" applyFont="1" applyFill="1" applyBorder="1" applyAlignment="1" applyProtection="1">
      <alignment horizontal="right"/>
    </xf>
    <xf numFmtId="1" fontId="3" fillId="23" borderId="3" xfId="2" applyNumberFormat="1" applyFont="1" applyFill="1" applyBorder="1" applyAlignment="1" applyProtection="1">
      <alignment horizontal="right"/>
    </xf>
    <xf numFmtId="1" fontId="3" fillId="24" borderId="0" xfId="2" applyNumberFormat="1" applyFont="1" applyFill="1" applyBorder="1" applyAlignment="1" applyProtection="1">
      <alignment horizontal="right"/>
    </xf>
    <xf numFmtId="1" fontId="3" fillId="25" borderId="0" xfId="2" applyNumberFormat="1" applyFont="1" applyFill="1" applyBorder="1" applyAlignment="1" applyProtection="1">
      <alignment horizontal="right"/>
    </xf>
    <xf numFmtId="0" fontId="0" fillId="19" borderId="3" xfId="0" applyFill="1" applyBorder="1"/>
    <xf numFmtId="0" fontId="3" fillId="4" borderId="3" xfId="2" applyFont="1" applyFill="1" applyBorder="1" applyProtection="1"/>
    <xf numFmtId="0" fontId="3" fillId="4" borderId="3" xfId="2" applyFont="1" applyFill="1" applyBorder="1" applyAlignment="1" applyProtection="1">
      <alignment horizontal="right"/>
    </xf>
    <xf numFmtId="0" fontId="0" fillId="4" borderId="3" xfId="0" applyFill="1" applyBorder="1" applyAlignment="1">
      <alignment horizontal="right"/>
    </xf>
    <xf numFmtId="1" fontId="5" fillId="12" borderId="3" xfId="0" applyNumberFormat="1" applyFont="1" applyFill="1" applyBorder="1"/>
    <xf numFmtId="0" fontId="0" fillId="0" borderId="3" xfId="0" applyBorder="1"/>
    <xf numFmtId="2" fontId="0" fillId="0" borderId="0" xfId="0" applyNumberFormat="1"/>
    <xf numFmtId="1" fontId="0" fillId="0" borderId="3" xfId="0" applyNumberFormat="1" applyBorder="1"/>
    <xf numFmtId="164" fontId="0" fillId="0" borderId="0" xfId="0" applyNumberFormat="1"/>
    <xf numFmtId="0" fontId="0" fillId="27" borderId="0" xfId="0" applyFill="1" applyAlignment="1">
      <alignment horizontal="right"/>
    </xf>
    <xf numFmtId="0" fontId="0" fillId="28" borderId="0" xfId="0" applyFill="1"/>
    <xf numFmtId="0" fontId="0" fillId="29" borderId="0" xfId="0" applyFill="1"/>
    <xf numFmtId="0" fontId="0" fillId="30" borderId="0" xfId="0" applyFill="1"/>
    <xf numFmtId="0" fontId="3" fillId="26" borderId="0" xfId="2" applyFont="1" applyFill="1" applyBorder="1" applyAlignment="1" applyProtection="1">
      <alignment horizontal="right"/>
    </xf>
    <xf numFmtId="0" fontId="3" fillId="10" borderId="0" xfId="2" applyFont="1" applyFill="1" applyBorder="1" applyAlignment="1" applyProtection="1">
      <alignment horizontal="right"/>
    </xf>
    <xf numFmtId="0" fontId="3" fillId="9" borderId="3" xfId="2" applyFont="1" applyFill="1" applyBorder="1" applyAlignment="1" applyProtection="1">
      <alignment horizontal="right"/>
    </xf>
    <xf numFmtId="0" fontId="8" fillId="31" borderId="4" xfId="0" applyFont="1" applyFill="1" applyBorder="1"/>
    <xf numFmtId="0" fontId="8" fillId="32" borderId="4" xfId="0" applyFont="1" applyFill="1" applyBorder="1"/>
    <xf numFmtId="0" fontId="8" fillId="33" borderId="4" xfId="0" applyFont="1" applyFill="1" applyBorder="1"/>
    <xf numFmtId="0" fontId="8" fillId="31" borderId="0" xfId="0" applyFont="1" applyFill="1"/>
    <xf numFmtId="0" fontId="8" fillId="31" borderId="3" xfId="0" applyFont="1" applyFill="1" applyBorder="1"/>
    <xf numFmtId="0" fontId="8" fillId="32" borderId="0" xfId="0" applyFont="1" applyFill="1"/>
    <xf numFmtId="0" fontId="8" fillId="33" borderId="0" xfId="0" applyFont="1" applyFill="1"/>
    <xf numFmtId="165" fontId="5" fillId="0" borderId="0" xfId="0" applyNumberFormat="1" applyFont="1"/>
  </cellXfs>
  <cellStyles count="3">
    <cellStyle name="Excel Built-in Input" xfId="2" xr:uid="{00000000-0005-0000-0000-000007000000}"/>
    <cellStyle name="Excel Built-in Output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BE3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Liquid</a:t>
            </a:r>
            <a:r>
              <a:rPr lang="en-ZA" baseline="0"/>
              <a:t> fuel price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v>High Published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4-4745-932A-6DA2B18BC4B4}"/>
            </c:ext>
          </c:extLst>
        </c:ser>
        <c:ser>
          <c:idx val="3"/>
          <c:order val="2"/>
          <c:tx>
            <c:v>Best Est. Published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D-472A-8F64-14EAE376CB4B}"/>
            </c:ext>
          </c:extLst>
        </c:ser>
        <c:ser>
          <c:idx val="1"/>
          <c:order val="3"/>
          <c:tx>
            <c:v>Low Published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4-4745-932A-6DA2B18BC4B4}"/>
            </c:ext>
          </c:extLst>
        </c:ser>
        <c:ser>
          <c:idx val="4"/>
          <c:order val="4"/>
          <c:tx>
            <c:v>High Update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extendable_generators!$J$26:$AS$26</c:f>
              <c:numCache>
                <c:formatCode>0</c:formatCode>
                <c:ptCount val="36"/>
                <c:pt idx="0">
                  <c:v>388.87</c:v>
                </c:pt>
                <c:pt idx="1">
                  <c:v>404.1</c:v>
                </c:pt>
                <c:pt idx="2">
                  <c:v>418.4</c:v>
                </c:pt>
                <c:pt idx="3">
                  <c:v>432.19</c:v>
                </c:pt>
                <c:pt idx="4">
                  <c:v>446.49</c:v>
                </c:pt>
                <c:pt idx="5">
                  <c:v>462.62</c:v>
                </c:pt>
                <c:pt idx="6">
                  <c:v>468.14</c:v>
                </c:pt>
                <c:pt idx="7">
                  <c:v>468.5</c:v>
                </c:pt>
                <c:pt idx="8">
                  <c:v>473.81</c:v>
                </c:pt>
                <c:pt idx="9">
                  <c:v>479.77</c:v>
                </c:pt>
                <c:pt idx="10">
                  <c:v>483.6</c:v>
                </c:pt>
                <c:pt idx="11">
                  <c:v>487.23</c:v>
                </c:pt>
                <c:pt idx="12">
                  <c:v>492.08</c:v>
                </c:pt>
                <c:pt idx="13">
                  <c:v>497.73</c:v>
                </c:pt>
                <c:pt idx="14">
                  <c:v>504.74</c:v>
                </c:pt>
                <c:pt idx="15">
                  <c:v>509.26</c:v>
                </c:pt>
                <c:pt idx="16">
                  <c:v>505.89</c:v>
                </c:pt>
                <c:pt idx="17">
                  <c:v>514.87</c:v>
                </c:pt>
                <c:pt idx="18">
                  <c:v>519.71</c:v>
                </c:pt>
                <c:pt idx="19">
                  <c:v>523.98</c:v>
                </c:pt>
                <c:pt idx="20">
                  <c:v>526.21</c:v>
                </c:pt>
                <c:pt idx="21">
                  <c:v>525.22</c:v>
                </c:pt>
                <c:pt idx="22">
                  <c:v>532.99</c:v>
                </c:pt>
                <c:pt idx="23">
                  <c:v>536.15</c:v>
                </c:pt>
                <c:pt idx="24">
                  <c:v>540.24</c:v>
                </c:pt>
                <c:pt idx="25">
                  <c:v>543.9</c:v>
                </c:pt>
                <c:pt idx="26">
                  <c:v>544</c:v>
                </c:pt>
                <c:pt idx="27">
                  <c:v>544</c:v>
                </c:pt>
                <c:pt idx="28">
                  <c:v>544</c:v>
                </c:pt>
                <c:pt idx="29">
                  <c:v>544</c:v>
                </c:pt>
                <c:pt idx="30">
                  <c:v>544</c:v>
                </c:pt>
                <c:pt idx="31">
                  <c:v>544</c:v>
                </c:pt>
                <c:pt idx="32">
                  <c:v>544</c:v>
                </c:pt>
                <c:pt idx="33">
                  <c:v>544</c:v>
                </c:pt>
                <c:pt idx="34">
                  <c:v>544</c:v>
                </c:pt>
                <c:pt idx="35">
                  <c:v>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B-47A5-8BC5-7DE45D6FA4CA}"/>
            </c:ext>
          </c:extLst>
        </c:ser>
        <c:ser>
          <c:idx val="5"/>
          <c:order val="5"/>
          <c:tx>
            <c:v>Best Est. Update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extendable_generators!$J$38:$AS$38</c:f>
              <c:numCache>
                <c:formatCode>0</c:formatCode>
                <c:ptCount val="36"/>
                <c:pt idx="0">
                  <c:v>388.87</c:v>
                </c:pt>
                <c:pt idx="1">
                  <c:v>388.6</c:v>
                </c:pt>
                <c:pt idx="2">
                  <c:v>386.77</c:v>
                </c:pt>
                <c:pt idx="3">
                  <c:v>384.37</c:v>
                </c:pt>
                <c:pt idx="4">
                  <c:v>382.13</c:v>
                </c:pt>
                <c:pt idx="5">
                  <c:v>381.53</c:v>
                </c:pt>
                <c:pt idx="6">
                  <c:v>383.6</c:v>
                </c:pt>
                <c:pt idx="7">
                  <c:v>381.66</c:v>
                </c:pt>
                <c:pt idx="8">
                  <c:v>386.9</c:v>
                </c:pt>
                <c:pt idx="9">
                  <c:v>389.56</c:v>
                </c:pt>
                <c:pt idx="10">
                  <c:v>390.76</c:v>
                </c:pt>
                <c:pt idx="11">
                  <c:v>391.8</c:v>
                </c:pt>
                <c:pt idx="12">
                  <c:v>394.01</c:v>
                </c:pt>
                <c:pt idx="13">
                  <c:v>395.09</c:v>
                </c:pt>
                <c:pt idx="14">
                  <c:v>397.38</c:v>
                </c:pt>
                <c:pt idx="15">
                  <c:v>399.25</c:v>
                </c:pt>
                <c:pt idx="16">
                  <c:v>400.63</c:v>
                </c:pt>
                <c:pt idx="17">
                  <c:v>400.03</c:v>
                </c:pt>
                <c:pt idx="18">
                  <c:v>404.73</c:v>
                </c:pt>
                <c:pt idx="19">
                  <c:v>404.67</c:v>
                </c:pt>
                <c:pt idx="20">
                  <c:v>406.38</c:v>
                </c:pt>
                <c:pt idx="21">
                  <c:v>408.01</c:v>
                </c:pt>
                <c:pt idx="22">
                  <c:v>417.44</c:v>
                </c:pt>
                <c:pt idx="23">
                  <c:v>419.63</c:v>
                </c:pt>
                <c:pt idx="24">
                  <c:v>422.8</c:v>
                </c:pt>
                <c:pt idx="25">
                  <c:v>424.07</c:v>
                </c:pt>
                <c:pt idx="26">
                  <c:v>424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424</c:v>
                </c:pt>
                <c:pt idx="31">
                  <c:v>424</c:v>
                </c:pt>
                <c:pt idx="32">
                  <c:v>424</c:v>
                </c:pt>
                <c:pt idx="33">
                  <c:v>424</c:v>
                </c:pt>
                <c:pt idx="34">
                  <c:v>424</c:v>
                </c:pt>
                <c:pt idx="35">
                  <c:v>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B-47A5-8BC5-7DE45D6FA4CA}"/>
            </c:ext>
          </c:extLst>
        </c:ser>
        <c:ser>
          <c:idx val="6"/>
          <c:order val="6"/>
          <c:tx>
            <c:v>Low Update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extendable_generators!$J$50:$AS$50</c:f>
              <c:numCache>
                <c:formatCode>0</c:formatCode>
                <c:ptCount val="36"/>
                <c:pt idx="0">
                  <c:v>388.87</c:v>
                </c:pt>
                <c:pt idx="1">
                  <c:v>372.94</c:v>
                </c:pt>
                <c:pt idx="2">
                  <c:v>356.79</c:v>
                </c:pt>
                <c:pt idx="3">
                  <c:v>341.89</c:v>
                </c:pt>
                <c:pt idx="4">
                  <c:v>326.08</c:v>
                </c:pt>
                <c:pt idx="5">
                  <c:v>311.33</c:v>
                </c:pt>
                <c:pt idx="6">
                  <c:v>313.23</c:v>
                </c:pt>
                <c:pt idx="7">
                  <c:v>312.72000000000003</c:v>
                </c:pt>
                <c:pt idx="8">
                  <c:v>316.02999999999997</c:v>
                </c:pt>
                <c:pt idx="9">
                  <c:v>317.45999999999998</c:v>
                </c:pt>
                <c:pt idx="10">
                  <c:v>318.45</c:v>
                </c:pt>
                <c:pt idx="11">
                  <c:v>320.16000000000003</c:v>
                </c:pt>
                <c:pt idx="12">
                  <c:v>321.70999999999998</c:v>
                </c:pt>
                <c:pt idx="13">
                  <c:v>323.02999999999997</c:v>
                </c:pt>
                <c:pt idx="14">
                  <c:v>325.39</c:v>
                </c:pt>
                <c:pt idx="15">
                  <c:v>326.70999999999998</c:v>
                </c:pt>
                <c:pt idx="16">
                  <c:v>327.79</c:v>
                </c:pt>
                <c:pt idx="17">
                  <c:v>327.88</c:v>
                </c:pt>
                <c:pt idx="18">
                  <c:v>330.62</c:v>
                </c:pt>
                <c:pt idx="19">
                  <c:v>330.97</c:v>
                </c:pt>
                <c:pt idx="20">
                  <c:v>332.22</c:v>
                </c:pt>
                <c:pt idx="21">
                  <c:v>335.09</c:v>
                </c:pt>
                <c:pt idx="22">
                  <c:v>339.96</c:v>
                </c:pt>
                <c:pt idx="23">
                  <c:v>341.7</c:v>
                </c:pt>
                <c:pt idx="24">
                  <c:v>343.5</c:v>
                </c:pt>
                <c:pt idx="25">
                  <c:v>344.94</c:v>
                </c:pt>
                <c:pt idx="26">
                  <c:v>345</c:v>
                </c:pt>
                <c:pt idx="27">
                  <c:v>345</c:v>
                </c:pt>
                <c:pt idx="28">
                  <c:v>345</c:v>
                </c:pt>
                <c:pt idx="29">
                  <c:v>345</c:v>
                </c:pt>
                <c:pt idx="30">
                  <c:v>345</c:v>
                </c:pt>
                <c:pt idx="31">
                  <c:v>345</c:v>
                </c:pt>
                <c:pt idx="32">
                  <c:v>345</c:v>
                </c:pt>
                <c:pt idx="33">
                  <c:v>345</c:v>
                </c:pt>
                <c:pt idx="34">
                  <c:v>345</c:v>
                </c:pt>
                <c:pt idx="35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EB-47A5-8BC5-7DE45D6F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471808"/>
        <c:axId val="271031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extendable_generators!$A$15</c15:sqref>
                        </c15:formulaRef>
                      </c:ext>
                    </c:extLst>
                    <c:strCache>
                      <c:ptCount val="1"/>
                      <c:pt idx="0">
                        <c:v>ME_IRP23</c:v>
                      </c:pt>
                    </c:strCache>
                  </c:strRef>
                </c:tx>
                <c:spPr>
                  <a:ln w="19050" cap="rnd">
                    <a:solidFill>
                      <a:srgbClr val="00206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extendable_generators!$J$1:$AS$1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extendable_generators!$J$14:$AS$14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864.96</c:v>
                      </c:pt>
                      <c:pt idx="1">
                        <c:v>864.96</c:v>
                      </c:pt>
                      <c:pt idx="2">
                        <c:v>864.96</c:v>
                      </c:pt>
                      <c:pt idx="3">
                        <c:v>864.96</c:v>
                      </c:pt>
                      <c:pt idx="4">
                        <c:v>864.96</c:v>
                      </c:pt>
                      <c:pt idx="5">
                        <c:v>864.96</c:v>
                      </c:pt>
                      <c:pt idx="6">
                        <c:v>864.96</c:v>
                      </c:pt>
                      <c:pt idx="7">
                        <c:v>864.96</c:v>
                      </c:pt>
                      <c:pt idx="8">
                        <c:v>864.96</c:v>
                      </c:pt>
                      <c:pt idx="9">
                        <c:v>864.96</c:v>
                      </c:pt>
                      <c:pt idx="10">
                        <c:v>864.96</c:v>
                      </c:pt>
                      <c:pt idx="11">
                        <c:v>864.96</c:v>
                      </c:pt>
                      <c:pt idx="12">
                        <c:v>864.96</c:v>
                      </c:pt>
                      <c:pt idx="13">
                        <c:v>864.96</c:v>
                      </c:pt>
                      <c:pt idx="14">
                        <c:v>864.96</c:v>
                      </c:pt>
                      <c:pt idx="15">
                        <c:v>864.96</c:v>
                      </c:pt>
                      <c:pt idx="16">
                        <c:v>864.96</c:v>
                      </c:pt>
                      <c:pt idx="17">
                        <c:v>864.96</c:v>
                      </c:pt>
                      <c:pt idx="18">
                        <c:v>864.96</c:v>
                      </c:pt>
                      <c:pt idx="19">
                        <c:v>864.96</c:v>
                      </c:pt>
                      <c:pt idx="20">
                        <c:v>864.96</c:v>
                      </c:pt>
                      <c:pt idx="21">
                        <c:v>864.96</c:v>
                      </c:pt>
                      <c:pt idx="22">
                        <c:v>864.96</c:v>
                      </c:pt>
                      <c:pt idx="23">
                        <c:v>864.96</c:v>
                      </c:pt>
                      <c:pt idx="24">
                        <c:v>864.96</c:v>
                      </c:pt>
                      <c:pt idx="25">
                        <c:v>864.96</c:v>
                      </c:pt>
                      <c:pt idx="26">
                        <c:v>864.96</c:v>
                      </c:pt>
                      <c:pt idx="27">
                        <c:v>864.96</c:v>
                      </c:pt>
                      <c:pt idx="28">
                        <c:v>864.96</c:v>
                      </c:pt>
                      <c:pt idx="29">
                        <c:v>864.96</c:v>
                      </c:pt>
                      <c:pt idx="30">
                        <c:v>864.96</c:v>
                      </c:pt>
                      <c:pt idx="31">
                        <c:v>864.96</c:v>
                      </c:pt>
                      <c:pt idx="32">
                        <c:v>864.96</c:v>
                      </c:pt>
                      <c:pt idx="33">
                        <c:v>864.96</c:v>
                      </c:pt>
                      <c:pt idx="34">
                        <c:v>864.96</c:v>
                      </c:pt>
                      <c:pt idx="35">
                        <c:v>864.96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284-4745-932A-6DA2B18BC4B4}"/>
                  </c:ext>
                </c:extLst>
              </c15:ser>
            </c15:filteredScatterSeries>
          </c:ext>
        </c:extLst>
      </c:scatterChart>
      <c:valAx>
        <c:axId val="1485471808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31039"/>
        <c:crosses val="autoZero"/>
        <c:crossBetween val="midCat"/>
      </c:valAx>
      <c:valAx>
        <c:axId val="2710310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Price </a:t>
                </a:r>
                <a:r>
                  <a:rPr lang="en-ZA" sz="1400" baseline="0"/>
                  <a:t>(R/GJ)</a:t>
                </a:r>
                <a:endParaRPr lang="en-Z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Gas</a:t>
            </a:r>
            <a:r>
              <a:rPr lang="en-ZA" baseline="0"/>
              <a:t> fuel price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v>High Published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4-4745-932A-6DA2B18BC4B4}"/>
            </c:ext>
          </c:extLst>
        </c:ser>
        <c:ser>
          <c:idx val="3"/>
          <c:order val="2"/>
          <c:tx>
            <c:v>Best Est. Published</c:v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F-499F-81E7-BFEA2333F256}"/>
            </c:ext>
          </c:extLst>
        </c:ser>
        <c:ser>
          <c:idx val="1"/>
          <c:order val="3"/>
          <c:tx>
            <c:v>Low Published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4-4745-932A-6DA2B18BC4B4}"/>
            </c:ext>
          </c:extLst>
        </c:ser>
        <c:ser>
          <c:idx val="4"/>
          <c:order val="4"/>
          <c:tx>
            <c:v>High Update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extendable_generators!$J$28:$AS$28</c:f>
              <c:numCache>
                <c:formatCode>0</c:formatCode>
                <c:ptCount val="36"/>
                <c:pt idx="0">
                  <c:v>216.16</c:v>
                </c:pt>
                <c:pt idx="1">
                  <c:v>225.89</c:v>
                </c:pt>
                <c:pt idx="2">
                  <c:v>235.02</c:v>
                </c:pt>
                <c:pt idx="3">
                  <c:v>243.83</c:v>
                </c:pt>
                <c:pt idx="4">
                  <c:v>252.96</c:v>
                </c:pt>
                <c:pt idx="5">
                  <c:v>263.26</c:v>
                </c:pt>
                <c:pt idx="6">
                  <c:v>266.77999999999997</c:v>
                </c:pt>
                <c:pt idx="7">
                  <c:v>267.01</c:v>
                </c:pt>
                <c:pt idx="8">
                  <c:v>270.39999999999998</c:v>
                </c:pt>
                <c:pt idx="9">
                  <c:v>274.20999999999998</c:v>
                </c:pt>
                <c:pt idx="10">
                  <c:v>276.66000000000003</c:v>
                </c:pt>
                <c:pt idx="11">
                  <c:v>278.98</c:v>
                </c:pt>
                <c:pt idx="12">
                  <c:v>282.07</c:v>
                </c:pt>
                <c:pt idx="13">
                  <c:v>285.68</c:v>
                </c:pt>
                <c:pt idx="14">
                  <c:v>290.16000000000003</c:v>
                </c:pt>
                <c:pt idx="15">
                  <c:v>293.04000000000002</c:v>
                </c:pt>
                <c:pt idx="16">
                  <c:v>290.89999999999998</c:v>
                </c:pt>
                <c:pt idx="17">
                  <c:v>296.63</c:v>
                </c:pt>
                <c:pt idx="18">
                  <c:v>299.72000000000003</c:v>
                </c:pt>
                <c:pt idx="19">
                  <c:v>302.45</c:v>
                </c:pt>
                <c:pt idx="20">
                  <c:v>303.87</c:v>
                </c:pt>
                <c:pt idx="21">
                  <c:v>303.24</c:v>
                </c:pt>
                <c:pt idx="22">
                  <c:v>308.2</c:v>
                </c:pt>
                <c:pt idx="23">
                  <c:v>310.22000000000003</c:v>
                </c:pt>
                <c:pt idx="24">
                  <c:v>312.83</c:v>
                </c:pt>
                <c:pt idx="25">
                  <c:v>315.17</c:v>
                </c:pt>
                <c:pt idx="26">
                  <c:v>315</c:v>
                </c:pt>
                <c:pt idx="27">
                  <c:v>315</c:v>
                </c:pt>
                <c:pt idx="28">
                  <c:v>315</c:v>
                </c:pt>
                <c:pt idx="29">
                  <c:v>315</c:v>
                </c:pt>
                <c:pt idx="30">
                  <c:v>315</c:v>
                </c:pt>
                <c:pt idx="31">
                  <c:v>315</c:v>
                </c:pt>
                <c:pt idx="32">
                  <c:v>315</c:v>
                </c:pt>
                <c:pt idx="33">
                  <c:v>315</c:v>
                </c:pt>
                <c:pt idx="34">
                  <c:v>315</c:v>
                </c:pt>
                <c:pt idx="35">
                  <c:v>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8-4F33-886B-C5055453CF62}"/>
            </c:ext>
          </c:extLst>
        </c:ser>
        <c:ser>
          <c:idx val="5"/>
          <c:order val="5"/>
          <c:tx>
            <c:v>Best Est. Update</c:v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extendable_generators!$J$40:$AS$40</c:f>
              <c:numCache>
                <c:formatCode>0</c:formatCode>
                <c:ptCount val="36"/>
                <c:pt idx="0">
                  <c:v>216.16</c:v>
                </c:pt>
                <c:pt idx="1">
                  <c:v>215.99</c:v>
                </c:pt>
                <c:pt idx="2">
                  <c:v>214.82</c:v>
                </c:pt>
                <c:pt idx="3">
                  <c:v>213.29</c:v>
                </c:pt>
                <c:pt idx="4">
                  <c:v>211.85</c:v>
                </c:pt>
                <c:pt idx="5">
                  <c:v>211.47</c:v>
                </c:pt>
                <c:pt idx="6">
                  <c:v>212.8</c:v>
                </c:pt>
                <c:pt idx="7">
                  <c:v>211.55</c:v>
                </c:pt>
                <c:pt idx="8">
                  <c:v>214.9</c:v>
                </c:pt>
                <c:pt idx="9">
                  <c:v>216.6</c:v>
                </c:pt>
                <c:pt idx="10">
                  <c:v>217.37</c:v>
                </c:pt>
                <c:pt idx="11">
                  <c:v>218.03</c:v>
                </c:pt>
                <c:pt idx="12">
                  <c:v>219.44</c:v>
                </c:pt>
                <c:pt idx="13">
                  <c:v>220.13</c:v>
                </c:pt>
                <c:pt idx="14">
                  <c:v>221.6</c:v>
                </c:pt>
                <c:pt idx="15">
                  <c:v>222.79</c:v>
                </c:pt>
                <c:pt idx="16">
                  <c:v>223.67</c:v>
                </c:pt>
                <c:pt idx="17">
                  <c:v>223.29</c:v>
                </c:pt>
                <c:pt idx="18">
                  <c:v>226.29</c:v>
                </c:pt>
                <c:pt idx="19">
                  <c:v>226.25</c:v>
                </c:pt>
                <c:pt idx="20">
                  <c:v>227.34</c:v>
                </c:pt>
                <c:pt idx="21">
                  <c:v>228.38</c:v>
                </c:pt>
                <c:pt idx="22">
                  <c:v>234.4</c:v>
                </c:pt>
                <c:pt idx="23">
                  <c:v>235.81</c:v>
                </c:pt>
                <c:pt idx="24">
                  <c:v>237.83</c:v>
                </c:pt>
                <c:pt idx="25">
                  <c:v>238.64</c:v>
                </c:pt>
                <c:pt idx="26">
                  <c:v>238.64</c:v>
                </c:pt>
                <c:pt idx="27">
                  <c:v>238.64</c:v>
                </c:pt>
                <c:pt idx="28">
                  <c:v>238.64</c:v>
                </c:pt>
                <c:pt idx="29">
                  <c:v>238.64</c:v>
                </c:pt>
                <c:pt idx="30">
                  <c:v>238.64</c:v>
                </c:pt>
                <c:pt idx="31">
                  <c:v>238.64</c:v>
                </c:pt>
                <c:pt idx="32">
                  <c:v>238.64</c:v>
                </c:pt>
                <c:pt idx="33">
                  <c:v>238.64</c:v>
                </c:pt>
                <c:pt idx="34">
                  <c:v>238.64</c:v>
                </c:pt>
                <c:pt idx="35">
                  <c:v>238.64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8-4F33-886B-C5055453CF62}"/>
            </c:ext>
          </c:extLst>
        </c:ser>
        <c:ser>
          <c:idx val="6"/>
          <c:order val="6"/>
          <c:tx>
            <c:v>Low Update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extendable_generators!$J$52:$AS$52</c:f>
              <c:numCache>
                <c:formatCode>0</c:formatCode>
                <c:ptCount val="36"/>
                <c:pt idx="0">
                  <c:v>206.85</c:v>
                </c:pt>
                <c:pt idx="1">
                  <c:v>196.67</c:v>
                </c:pt>
                <c:pt idx="2">
                  <c:v>186.36</c:v>
                </c:pt>
                <c:pt idx="3">
                  <c:v>176.85</c:v>
                </c:pt>
                <c:pt idx="4">
                  <c:v>166.75</c:v>
                </c:pt>
                <c:pt idx="5">
                  <c:v>157.32</c:v>
                </c:pt>
                <c:pt idx="6">
                  <c:v>158.54</c:v>
                </c:pt>
                <c:pt idx="7">
                  <c:v>158.21</c:v>
                </c:pt>
                <c:pt idx="8">
                  <c:v>160.33000000000001</c:v>
                </c:pt>
                <c:pt idx="9">
                  <c:v>161.24</c:v>
                </c:pt>
                <c:pt idx="10">
                  <c:v>161.87</c:v>
                </c:pt>
                <c:pt idx="11">
                  <c:v>162.97</c:v>
                </c:pt>
                <c:pt idx="12">
                  <c:v>163.95</c:v>
                </c:pt>
                <c:pt idx="13">
                  <c:v>164.8</c:v>
                </c:pt>
                <c:pt idx="14">
                  <c:v>166.3</c:v>
                </c:pt>
                <c:pt idx="15">
                  <c:v>167.15</c:v>
                </c:pt>
                <c:pt idx="16">
                  <c:v>167.84</c:v>
                </c:pt>
                <c:pt idx="17">
                  <c:v>167.89</c:v>
                </c:pt>
                <c:pt idx="18">
                  <c:v>169.64</c:v>
                </c:pt>
                <c:pt idx="19">
                  <c:v>169.87</c:v>
                </c:pt>
                <c:pt idx="20">
                  <c:v>170.67</c:v>
                </c:pt>
                <c:pt idx="21">
                  <c:v>172.5</c:v>
                </c:pt>
                <c:pt idx="22">
                  <c:v>175.61</c:v>
                </c:pt>
                <c:pt idx="23">
                  <c:v>176.72</c:v>
                </c:pt>
                <c:pt idx="24">
                  <c:v>177.87</c:v>
                </c:pt>
                <c:pt idx="25">
                  <c:v>178.79</c:v>
                </c:pt>
                <c:pt idx="26">
                  <c:v>178.79</c:v>
                </c:pt>
                <c:pt idx="27">
                  <c:v>178.79</c:v>
                </c:pt>
                <c:pt idx="28">
                  <c:v>178.79</c:v>
                </c:pt>
                <c:pt idx="29">
                  <c:v>178.79</c:v>
                </c:pt>
                <c:pt idx="30">
                  <c:v>178.79</c:v>
                </c:pt>
                <c:pt idx="31">
                  <c:v>178.79</c:v>
                </c:pt>
                <c:pt idx="32">
                  <c:v>178.79</c:v>
                </c:pt>
                <c:pt idx="33">
                  <c:v>178.79</c:v>
                </c:pt>
                <c:pt idx="34">
                  <c:v>178.79</c:v>
                </c:pt>
                <c:pt idx="35">
                  <c:v>178.79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68-4F33-886B-C5055453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471808"/>
        <c:axId val="271031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extendable_generators!$A$15</c15:sqref>
                        </c15:formulaRef>
                      </c:ext>
                    </c:extLst>
                    <c:strCache>
                      <c:ptCount val="1"/>
                      <c:pt idx="0">
                        <c:v>ME_IRP23</c:v>
                      </c:pt>
                    </c:strCache>
                  </c:strRef>
                </c:tx>
                <c:spPr>
                  <a:ln w="19050" cap="rnd">
                    <a:solidFill>
                      <a:srgbClr val="00206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extendable_generators!$J$1:$AS$1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extendable_generators!$J$16:$AS$16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288.32</c:v>
                      </c:pt>
                      <c:pt idx="1">
                        <c:v>288.32</c:v>
                      </c:pt>
                      <c:pt idx="2">
                        <c:v>288.32</c:v>
                      </c:pt>
                      <c:pt idx="3">
                        <c:v>288.32</c:v>
                      </c:pt>
                      <c:pt idx="4">
                        <c:v>288.32</c:v>
                      </c:pt>
                      <c:pt idx="5">
                        <c:v>288.32</c:v>
                      </c:pt>
                      <c:pt idx="6">
                        <c:v>288.32</c:v>
                      </c:pt>
                      <c:pt idx="7">
                        <c:v>288.32</c:v>
                      </c:pt>
                      <c:pt idx="8">
                        <c:v>288.32</c:v>
                      </c:pt>
                      <c:pt idx="9">
                        <c:v>288.32</c:v>
                      </c:pt>
                      <c:pt idx="10">
                        <c:v>288.32</c:v>
                      </c:pt>
                      <c:pt idx="11">
                        <c:v>288.32</c:v>
                      </c:pt>
                      <c:pt idx="12">
                        <c:v>288.32</c:v>
                      </c:pt>
                      <c:pt idx="13">
                        <c:v>288.32</c:v>
                      </c:pt>
                      <c:pt idx="14">
                        <c:v>288.32</c:v>
                      </c:pt>
                      <c:pt idx="15">
                        <c:v>288.32</c:v>
                      </c:pt>
                      <c:pt idx="16">
                        <c:v>288.32</c:v>
                      </c:pt>
                      <c:pt idx="17">
                        <c:v>288.32</c:v>
                      </c:pt>
                      <c:pt idx="18">
                        <c:v>288.32</c:v>
                      </c:pt>
                      <c:pt idx="19">
                        <c:v>288.32</c:v>
                      </c:pt>
                      <c:pt idx="20">
                        <c:v>288.32</c:v>
                      </c:pt>
                      <c:pt idx="21">
                        <c:v>288.32</c:v>
                      </c:pt>
                      <c:pt idx="22">
                        <c:v>288.32</c:v>
                      </c:pt>
                      <c:pt idx="23">
                        <c:v>288.32</c:v>
                      </c:pt>
                      <c:pt idx="24">
                        <c:v>288.32</c:v>
                      </c:pt>
                      <c:pt idx="25">
                        <c:v>288.32</c:v>
                      </c:pt>
                      <c:pt idx="26">
                        <c:v>288.32</c:v>
                      </c:pt>
                      <c:pt idx="27">
                        <c:v>288.32</c:v>
                      </c:pt>
                      <c:pt idx="28">
                        <c:v>288.32</c:v>
                      </c:pt>
                      <c:pt idx="29">
                        <c:v>288.32</c:v>
                      </c:pt>
                      <c:pt idx="30">
                        <c:v>288.32</c:v>
                      </c:pt>
                      <c:pt idx="31">
                        <c:v>288.32</c:v>
                      </c:pt>
                      <c:pt idx="32">
                        <c:v>288.32</c:v>
                      </c:pt>
                      <c:pt idx="33">
                        <c:v>288.32</c:v>
                      </c:pt>
                      <c:pt idx="34">
                        <c:v>288.32</c:v>
                      </c:pt>
                      <c:pt idx="35">
                        <c:v>288.32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284-4745-932A-6DA2B18BC4B4}"/>
                  </c:ext>
                </c:extLst>
              </c15:ser>
            </c15:filteredScatterSeries>
          </c:ext>
        </c:extLst>
      </c:scatterChart>
      <c:valAx>
        <c:axId val="1485471808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31039"/>
        <c:crosses val="autoZero"/>
        <c:crossBetween val="midCat"/>
      </c:valAx>
      <c:valAx>
        <c:axId val="2710310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Price </a:t>
                </a:r>
                <a:r>
                  <a:rPr lang="en-ZA" sz="1400" baseline="0"/>
                  <a:t>(R/GJ)</a:t>
                </a:r>
                <a:endParaRPr lang="en-Z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green_NH3!$A$6:$A$9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xVal>
          <c:yVal>
            <c:numRef>
              <c:f>green_NH3!$E$6:$E$9</c:f>
              <c:numCache>
                <c:formatCode>0</c:formatCode>
                <c:ptCount val="4"/>
                <c:pt idx="0">
                  <c:v>722.00598381786574</c:v>
                </c:pt>
                <c:pt idx="1">
                  <c:v>478.19262106211301</c:v>
                </c:pt>
                <c:pt idx="2">
                  <c:v>397.62112156037068</c:v>
                </c:pt>
                <c:pt idx="3">
                  <c:v>317.04962205862836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B-444B-939F-845656AEF8E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green_NH3!$A$6:$A$9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xVal>
          <c:yVal>
            <c:numRef>
              <c:f>green_NH3!$F$6:$F$9</c:f>
              <c:numCache>
                <c:formatCode>0</c:formatCode>
                <c:ptCount val="4"/>
                <c:pt idx="0">
                  <c:v>1409.4877246911346</c:v>
                </c:pt>
                <c:pt idx="1">
                  <c:v>958.48908391842815</c:v>
                </c:pt>
                <c:pt idx="2">
                  <c:v>788.44789600145589</c:v>
                </c:pt>
                <c:pt idx="3">
                  <c:v>618.40670808448363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8B-444B-939F-845656AEF8E0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8B-444B-939F-845656AEF8E0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8B-444B-939F-845656AEF8E0}"/>
            </c:ext>
          </c:extLst>
        </c:ser>
        <c:ser>
          <c:idx val="4"/>
          <c:order val="4"/>
          <c:tx>
            <c:strRef>
              <c:f>extendable_generators!#REF!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8B-444B-939F-845656AEF8E0}"/>
            </c:ext>
          </c:extLst>
        </c:ser>
        <c:ser>
          <c:idx val="5"/>
          <c:order val="5"/>
          <c:tx>
            <c:strRef>
              <c:f>extendable_generators!#REF!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8B-444B-939F-845656AE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0143"/>
        <c:axId val="2479663"/>
      </c:scatterChart>
      <c:valAx>
        <c:axId val="248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663"/>
        <c:crosses val="autoZero"/>
        <c:crossBetween val="midCat"/>
      </c:valAx>
      <c:valAx>
        <c:axId val="24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93347</xdr:colOff>
      <xdr:row>63</xdr:row>
      <xdr:rowOff>147972</xdr:rowOff>
    </xdr:from>
    <xdr:to>
      <xdr:col>19</xdr:col>
      <xdr:colOff>76200</xdr:colOff>
      <xdr:row>80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87459-F820-1EFA-E7F9-84FD4B2B6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69139</xdr:colOff>
      <xdr:row>63</xdr:row>
      <xdr:rowOff>141250</xdr:rowOff>
    </xdr:from>
    <xdr:to>
      <xdr:col>12</xdr:col>
      <xdr:colOff>91440</xdr:colOff>
      <xdr:row>80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ABF94-671D-B463-F5C4-92CBB28A5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476249</xdr:colOff>
      <xdr:row>0</xdr:row>
      <xdr:rowOff>142875</xdr:rowOff>
    </xdr:from>
    <xdr:to>
      <xdr:col>26</xdr:col>
      <xdr:colOff>115816</xdr:colOff>
      <xdr:row>13</xdr:row>
      <xdr:rowOff>171800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F0F47-7244-795A-6EEF-CD01A335A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49" y="142875"/>
          <a:ext cx="10002767" cy="25054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15</xdr:row>
      <xdr:rowOff>57150</xdr:rowOff>
    </xdr:from>
    <xdr:to>
      <xdr:col>20</xdr:col>
      <xdr:colOff>266662</xdr:colOff>
      <xdr:row>32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47F24-43E1-6A7D-6BC2-7986F292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0450" y="2914650"/>
          <a:ext cx="5048212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33</xdr:row>
      <xdr:rowOff>85725</xdr:rowOff>
    </xdr:from>
    <xdr:to>
      <xdr:col>15</xdr:col>
      <xdr:colOff>76923</xdr:colOff>
      <xdr:row>36</xdr:row>
      <xdr:rowOff>47699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61941C-A193-1601-B291-F1DEC633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0" y="6372225"/>
          <a:ext cx="5182323" cy="5334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18</xdr:col>
      <xdr:colOff>182021</xdr:colOff>
      <xdr:row>82</xdr:row>
      <xdr:rowOff>58222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DDB6C8-829E-CF53-2872-94DDA957E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8001000"/>
          <a:ext cx="7497221" cy="7678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10</xdr:col>
      <xdr:colOff>420009</xdr:colOff>
      <xdr:row>117</xdr:row>
      <xdr:rowOff>10244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CE9A91-9D87-B1ED-6240-AE2AE3444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145000"/>
          <a:ext cx="6516009" cy="5153744"/>
        </a:xfrm>
        <a:prstGeom prst="rect">
          <a:avLst/>
        </a:prstGeom>
      </xdr:spPr>
    </xdr:pic>
    <xdr:clientData/>
  </xdr:twoCellAnchor>
  <xdr:twoCellAnchor>
    <xdr:from>
      <xdr:col>1</xdr:col>
      <xdr:colOff>38099</xdr:colOff>
      <xdr:row>14</xdr:row>
      <xdr:rowOff>61912</xdr:rowOff>
    </xdr:from>
    <xdr:to>
      <xdr:col>9</xdr:col>
      <xdr:colOff>581024</xdr:colOff>
      <xdr:row>33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8D239-C624-97FE-DFE3-3DB14437A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"/>
  <sheetViews>
    <sheetView tabSelected="1" zoomScaleNormal="100" workbookViewId="0">
      <selection activeCell="L26" sqref="L26"/>
    </sheetView>
  </sheetViews>
  <sheetFormatPr baseColWidth="10" defaultColWidth="8.5" defaultRowHeight="15" x14ac:dyDescent="0.2"/>
  <cols>
    <col min="1" max="1" width="18.33203125" customWidth="1"/>
    <col min="2" max="2" width="14.33203125" customWidth="1"/>
    <col min="3" max="3" width="16" customWidth="1"/>
    <col min="4" max="9" width="10.1640625" hidden="1" customWidth="1"/>
    <col min="10" max="12" width="8.5" style="34"/>
    <col min="13" max="13" width="9.1640625" style="34" bestFit="1" customWidth="1"/>
    <col min="14" max="45" width="8.5" style="34"/>
  </cols>
  <sheetData>
    <row r="1" spans="1:45" ht="16" x14ac:dyDescent="0.2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S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2">
        <f t="shared" si="0"/>
        <v>2025</v>
      </c>
      <c r="K1" s="12">
        <f t="shared" si="0"/>
        <v>2026</v>
      </c>
      <c r="L1" s="12">
        <f t="shared" si="0"/>
        <v>2027</v>
      </c>
      <c r="M1" s="12">
        <f t="shared" si="0"/>
        <v>2028</v>
      </c>
      <c r="N1" s="12">
        <f t="shared" si="0"/>
        <v>2029</v>
      </c>
      <c r="O1" s="12">
        <f t="shared" si="0"/>
        <v>2030</v>
      </c>
      <c r="P1" s="12">
        <f t="shared" si="0"/>
        <v>2031</v>
      </c>
      <c r="Q1" s="12">
        <f t="shared" si="0"/>
        <v>2032</v>
      </c>
      <c r="R1" s="12">
        <f t="shared" si="0"/>
        <v>2033</v>
      </c>
      <c r="S1" s="12">
        <f t="shared" si="0"/>
        <v>2034</v>
      </c>
      <c r="T1" s="12">
        <f t="shared" si="0"/>
        <v>2035</v>
      </c>
      <c r="U1" s="12">
        <f t="shared" si="0"/>
        <v>2036</v>
      </c>
      <c r="V1" s="12">
        <f t="shared" si="0"/>
        <v>2037</v>
      </c>
      <c r="W1" s="12">
        <f t="shared" si="0"/>
        <v>2038</v>
      </c>
      <c r="X1" s="12">
        <f t="shared" si="0"/>
        <v>2039</v>
      </c>
      <c r="Y1" s="12">
        <f t="shared" si="0"/>
        <v>2040</v>
      </c>
      <c r="Z1" s="12">
        <f t="shared" si="0"/>
        <v>2041</v>
      </c>
      <c r="AA1" s="12">
        <f t="shared" si="0"/>
        <v>2042</v>
      </c>
      <c r="AB1" s="12">
        <f t="shared" si="0"/>
        <v>2043</v>
      </c>
      <c r="AC1" s="12">
        <f t="shared" si="0"/>
        <v>2044</v>
      </c>
      <c r="AD1" s="12">
        <f t="shared" si="0"/>
        <v>2045</v>
      </c>
      <c r="AE1" s="12">
        <f t="shared" si="0"/>
        <v>2046</v>
      </c>
      <c r="AF1" s="12">
        <f t="shared" si="0"/>
        <v>2047</v>
      </c>
      <c r="AG1" s="12">
        <f t="shared" si="0"/>
        <v>2048</v>
      </c>
      <c r="AH1" s="12">
        <f t="shared" si="0"/>
        <v>2049</v>
      </c>
      <c r="AI1" s="12">
        <f t="shared" si="0"/>
        <v>2050</v>
      </c>
      <c r="AJ1" s="12">
        <f t="shared" si="0"/>
        <v>2051</v>
      </c>
      <c r="AK1" s="12">
        <f t="shared" si="0"/>
        <v>2052</v>
      </c>
      <c r="AL1" s="12">
        <f t="shared" si="0"/>
        <v>2053</v>
      </c>
      <c r="AM1" s="12">
        <f t="shared" si="0"/>
        <v>2054</v>
      </c>
      <c r="AN1" s="12">
        <f t="shared" si="0"/>
        <v>2055</v>
      </c>
      <c r="AO1" s="12">
        <f t="shared" si="0"/>
        <v>2056</v>
      </c>
      <c r="AP1" s="12">
        <f t="shared" si="0"/>
        <v>2057</v>
      </c>
      <c r="AQ1" s="12">
        <f t="shared" si="0"/>
        <v>2058</v>
      </c>
      <c r="AR1" s="12">
        <f t="shared" si="0"/>
        <v>2059</v>
      </c>
      <c r="AS1" s="12">
        <f t="shared" si="0"/>
        <v>2060</v>
      </c>
    </row>
    <row r="2" spans="1:45" x14ac:dyDescent="0.2">
      <c r="A2" s="43" t="s">
        <v>18</v>
      </c>
      <c r="B2" s="3" t="s">
        <v>33</v>
      </c>
      <c r="C2" s="4" t="s">
        <v>3</v>
      </c>
      <c r="D2" s="5"/>
      <c r="E2" s="5"/>
      <c r="F2" s="5"/>
      <c r="G2" s="5"/>
      <c r="H2" s="5"/>
      <c r="I2" s="5"/>
      <c r="J2" s="6">
        <v>37.741118348594981</v>
      </c>
      <c r="K2" s="6">
        <v>41.652043395995463</v>
      </c>
      <c r="L2" s="6">
        <v>46.571713887022604</v>
      </c>
      <c r="M2" s="6">
        <v>49.303234674251534</v>
      </c>
      <c r="N2" s="6">
        <v>52.3525931379111</v>
      </c>
      <c r="O2" s="6">
        <v>55.610824741312463</v>
      </c>
      <c r="P2" s="6">
        <f>O2</f>
        <v>55.610824741312463</v>
      </c>
      <c r="Q2" s="6">
        <f t="shared" ref="Q2" si="1">P2</f>
        <v>55.610824741312463</v>
      </c>
      <c r="R2" s="6">
        <f t="shared" ref="R2" si="2">Q2</f>
        <v>55.610824741312463</v>
      </c>
      <c r="S2" s="6">
        <f t="shared" ref="S2" si="3">R2</f>
        <v>55.610824741312463</v>
      </c>
      <c r="T2" s="6">
        <f t="shared" ref="T2" si="4">S2</f>
        <v>55.610824741312463</v>
      </c>
      <c r="U2" s="6">
        <f t="shared" ref="U2" si="5">T2</f>
        <v>55.610824741312463</v>
      </c>
      <c r="V2" s="6">
        <f t="shared" ref="V2" si="6">U2</f>
        <v>55.610824741312463</v>
      </c>
      <c r="W2" s="6">
        <f t="shared" ref="W2" si="7">V2</f>
        <v>55.610824741312463</v>
      </c>
      <c r="X2" s="6">
        <f t="shared" ref="X2" si="8">W2</f>
        <v>55.610824741312463</v>
      </c>
      <c r="Y2" s="6">
        <f t="shared" ref="Y2" si="9">X2</f>
        <v>55.610824741312463</v>
      </c>
      <c r="Z2" s="6">
        <f t="shared" ref="Z2" si="10">Y2</f>
        <v>55.610824741312463</v>
      </c>
      <c r="AA2" s="6">
        <f t="shared" ref="AA2" si="11">Z2</f>
        <v>55.610824741312463</v>
      </c>
      <c r="AB2" s="6">
        <f t="shared" ref="AB2" si="12">AA2</f>
        <v>55.610824741312463</v>
      </c>
      <c r="AC2" s="6">
        <f t="shared" ref="AC2" si="13">AB2</f>
        <v>55.610824741312463</v>
      </c>
      <c r="AD2" s="6">
        <f t="shared" ref="AD2" si="14">AC2</f>
        <v>55.610824741312463</v>
      </c>
      <c r="AE2" s="6">
        <f t="shared" ref="AE2" si="15">AD2</f>
        <v>55.610824741312463</v>
      </c>
      <c r="AF2" s="6">
        <f t="shared" ref="AF2" si="16">AE2</f>
        <v>55.610824741312463</v>
      </c>
      <c r="AG2" s="6">
        <f t="shared" ref="AG2" si="17">AF2</f>
        <v>55.610824741312463</v>
      </c>
      <c r="AH2" s="6">
        <f t="shared" ref="AH2" si="18">AG2</f>
        <v>55.610824741312463</v>
      </c>
      <c r="AI2" s="6">
        <f t="shared" ref="AI2" si="19">AH2</f>
        <v>55.610824741312463</v>
      </c>
      <c r="AJ2" s="6">
        <f t="shared" ref="AJ2:AS2" si="20">AI2</f>
        <v>55.610824741312463</v>
      </c>
      <c r="AK2" s="6">
        <f t="shared" si="20"/>
        <v>55.610824741312463</v>
      </c>
      <c r="AL2" s="6">
        <f t="shared" si="20"/>
        <v>55.610824741312463</v>
      </c>
      <c r="AM2" s="6">
        <f t="shared" si="20"/>
        <v>55.610824741312463</v>
      </c>
      <c r="AN2" s="6">
        <f t="shared" si="20"/>
        <v>55.610824741312463</v>
      </c>
      <c r="AO2" s="6">
        <f t="shared" si="20"/>
        <v>55.610824741312463</v>
      </c>
      <c r="AP2" s="6">
        <f t="shared" si="20"/>
        <v>55.610824741312463</v>
      </c>
      <c r="AQ2" s="6">
        <f t="shared" si="20"/>
        <v>55.610824741312463</v>
      </c>
      <c r="AR2" s="6">
        <f t="shared" si="20"/>
        <v>55.610824741312463</v>
      </c>
      <c r="AS2" s="6">
        <f t="shared" si="20"/>
        <v>55.610824741312463</v>
      </c>
    </row>
    <row r="3" spans="1:45" x14ac:dyDescent="0.2">
      <c r="A3" s="54" t="str">
        <f>A2</f>
        <v>ME_IRP23</v>
      </c>
      <c r="B3" s="55" t="s">
        <v>34</v>
      </c>
      <c r="C3" s="56" t="s">
        <v>3</v>
      </c>
      <c r="D3" s="57">
        <v>816</v>
      </c>
      <c r="E3" s="57">
        <v>816</v>
      </c>
      <c r="F3" s="57">
        <v>816</v>
      </c>
      <c r="G3" s="57">
        <v>816</v>
      </c>
      <c r="H3" s="57">
        <v>816</v>
      </c>
      <c r="I3" s="57">
        <v>816</v>
      </c>
      <c r="J3" s="58">
        <v>864.96</v>
      </c>
      <c r="K3" s="58">
        <v>864.96</v>
      </c>
      <c r="L3" s="58">
        <v>864.96</v>
      </c>
      <c r="M3" s="58">
        <v>864.96</v>
      </c>
      <c r="N3" s="58">
        <v>864.96</v>
      </c>
      <c r="O3" s="58">
        <v>864.96</v>
      </c>
      <c r="P3" s="58">
        <v>864.96</v>
      </c>
      <c r="Q3" s="58">
        <v>864.96</v>
      </c>
      <c r="R3" s="58">
        <v>864.96</v>
      </c>
      <c r="S3" s="58">
        <v>864.96</v>
      </c>
      <c r="T3" s="58">
        <v>864.96</v>
      </c>
      <c r="U3" s="58">
        <v>864.96</v>
      </c>
      <c r="V3" s="58">
        <v>864.96</v>
      </c>
      <c r="W3" s="58">
        <v>864.96</v>
      </c>
      <c r="X3" s="58">
        <v>864.96</v>
      </c>
      <c r="Y3" s="58">
        <v>864.96</v>
      </c>
      <c r="Z3" s="58">
        <v>864.96</v>
      </c>
      <c r="AA3" s="58">
        <v>864.96</v>
      </c>
      <c r="AB3" s="58">
        <v>864.96</v>
      </c>
      <c r="AC3" s="58">
        <v>864.96</v>
      </c>
      <c r="AD3" s="58">
        <v>864.96</v>
      </c>
      <c r="AE3" s="58">
        <v>864.96</v>
      </c>
      <c r="AF3" s="58">
        <v>864.96</v>
      </c>
      <c r="AG3" s="58">
        <v>864.96</v>
      </c>
      <c r="AH3" s="58">
        <v>864.96</v>
      </c>
      <c r="AI3" s="58">
        <v>864.96</v>
      </c>
      <c r="AJ3" s="58">
        <f t="shared" ref="AJ3:AS3" si="21">AI3</f>
        <v>864.96</v>
      </c>
      <c r="AK3" s="58">
        <f t="shared" si="21"/>
        <v>864.96</v>
      </c>
      <c r="AL3" s="58">
        <f t="shared" si="21"/>
        <v>864.96</v>
      </c>
      <c r="AM3" s="58">
        <f t="shared" si="21"/>
        <v>864.96</v>
      </c>
      <c r="AN3" s="58">
        <f t="shared" si="21"/>
        <v>864.96</v>
      </c>
      <c r="AO3" s="58">
        <f t="shared" si="21"/>
        <v>864.96</v>
      </c>
      <c r="AP3" s="58">
        <f t="shared" si="21"/>
        <v>864.96</v>
      </c>
      <c r="AQ3" s="58">
        <f t="shared" si="21"/>
        <v>864.96</v>
      </c>
      <c r="AR3" s="58">
        <f t="shared" si="21"/>
        <v>864.96</v>
      </c>
      <c r="AS3" s="58">
        <f t="shared" si="21"/>
        <v>864.96</v>
      </c>
    </row>
    <row r="4" spans="1:45" x14ac:dyDescent="0.2">
      <c r="A4" s="73" t="s">
        <v>27</v>
      </c>
      <c r="B4" s="3" t="s">
        <v>33</v>
      </c>
      <c r="C4" s="4" t="s">
        <v>3</v>
      </c>
      <c r="D4" s="5"/>
      <c r="E4" s="5"/>
      <c r="F4" s="5"/>
      <c r="G4" s="5"/>
      <c r="H4" s="5"/>
      <c r="I4" s="5"/>
      <c r="J4" s="6">
        <v>37.741118348594981</v>
      </c>
      <c r="K4" s="6">
        <v>41.652043395995463</v>
      </c>
      <c r="L4" s="6">
        <v>46.571713887022604</v>
      </c>
      <c r="M4" s="6">
        <v>49.303234674251534</v>
      </c>
      <c r="N4" s="6">
        <v>52.3525931379111</v>
      </c>
      <c r="O4" s="6">
        <v>55.610824741312463</v>
      </c>
      <c r="P4" s="6">
        <f>O4</f>
        <v>55.610824741312463</v>
      </c>
      <c r="Q4" s="6">
        <f t="shared" ref="Q4" si="22">P4</f>
        <v>55.610824741312463</v>
      </c>
      <c r="R4" s="6">
        <f t="shared" ref="R4" si="23">Q4</f>
        <v>55.610824741312463</v>
      </c>
      <c r="S4" s="6">
        <f t="shared" ref="S4" si="24">R4</f>
        <v>55.610824741312463</v>
      </c>
      <c r="T4" s="6">
        <f t="shared" ref="T4" si="25">S4</f>
        <v>55.610824741312463</v>
      </c>
      <c r="U4" s="6">
        <f t="shared" ref="U4" si="26">T4</f>
        <v>55.610824741312463</v>
      </c>
      <c r="V4" s="6">
        <f t="shared" ref="V4" si="27">U4</f>
        <v>55.610824741312463</v>
      </c>
      <c r="W4" s="6">
        <f t="shared" ref="W4" si="28">V4</f>
        <v>55.610824741312463</v>
      </c>
      <c r="X4" s="6">
        <f t="shared" ref="X4" si="29">W4</f>
        <v>55.610824741312463</v>
      </c>
      <c r="Y4" s="6">
        <f t="shared" ref="Y4" si="30">X4</f>
        <v>55.610824741312463</v>
      </c>
      <c r="Z4" s="6">
        <f t="shared" ref="Z4" si="31">Y4</f>
        <v>55.610824741312463</v>
      </c>
      <c r="AA4" s="6">
        <f t="shared" ref="AA4" si="32">Z4</f>
        <v>55.610824741312463</v>
      </c>
      <c r="AB4" s="6">
        <f t="shared" ref="AB4" si="33">AA4</f>
        <v>55.610824741312463</v>
      </c>
      <c r="AC4" s="6">
        <f t="shared" ref="AC4" si="34">AB4</f>
        <v>55.610824741312463</v>
      </c>
      <c r="AD4" s="6">
        <f t="shared" ref="AD4" si="35">AC4</f>
        <v>55.610824741312463</v>
      </c>
      <c r="AE4" s="6">
        <f t="shared" ref="AE4" si="36">AD4</f>
        <v>55.610824741312463</v>
      </c>
      <c r="AF4" s="6">
        <f t="shared" ref="AF4" si="37">AE4</f>
        <v>55.610824741312463</v>
      </c>
      <c r="AG4" s="6">
        <f t="shared" ref="AG4" si="38">AF4</f>
        <v>55.610824741312463</v>
      </c>
      <c r="AH4" s="6">
        <f t="shared" ref="AH4" si="39">AG4</f>
        <v>55.610824741312463</v>
      </c>
      <c r="AI4" s="6">
        <f t="shared" ref="AI4" si="40">AH4</f>
        <v>55.610824741312463</v>
      </c>
      <c r="AJ4" s="6">
        <f t="shared" ref="AJ4" si="41">AI4</f>
        <v>55.610824741312463</v>
      </c>
      <c r="AK4" s="6">
        <f t="shared" ref="AK4" si="42">AJ4</f>
        <v>55.610824741312463</v>
      </c>
      <c r="AL4" s="6">
        <f t="shared" ref="AL4" si="43">AK4</f>
        <v>55.610824741312463</v>
      </c>
      <c r="AM4" s="6">
        <f t="shared" ref="AM4" si="44">AL4</f>
        <v>55.610824741312463</v>
      </c>
      <c r="AN4" s="6">
        <f t="shared" ref="AN4" si="45">AM4</f>
        <v>55.610824741312463</v>
      </c>
      <c r="AO4" s="6">
        <f t="shared" ref="AO4" si="46">AN4</f>
        <v>55.610824741312463</v>
      </c>
      <c r="AP4" s="6">
        <f t="shared" ref="AP4" si="47">AO4</f>
        <v>55.610824741312463</v>
      </c>
      <c r="AQ4" s="6">
        <f t="shared" ref="AQ4" si="48">AP4</f>
        <v>55.610824741312463</v>
      </c>
      <c r="AR4" s="6">
        <f t="shared" ref="AR4" si="49">AQ4</f>
        <v>55.610824741312463</v>
      </c>
      <c r="AS4" s="6">
        <f t="shared" ref="AS4" si="50">AR4</f>
        <v>55.610824741312463</v>
      </c>
    </row>
    <row r="5" spans="1:45" x14ac:dyDescent="0.2">
      <c r="A5" s="73" t="str">
        <f>A4</f>
        <v>HIGH</v>
      </c>
      <c r="B5" s="8" t="s">
        <v>34</v>
      </c>
      <c r="C5" s="4" t="s">
        <v>3</v>
      </c>
      <c r="D5" s="9">
        <v>816</v>
      </c>
      <c r="E5" s="9">
        <v>816</v>
      </c>
      <c r="F5" s="9">
        <v>816</v>
      </c>
      <c r="G5" s="9">
        <v>816</v>
      </c>
      <c r="H5" s="9">
        <v>816</v>
      </c>
      <c r="I5" s="9">
        <v>816</v>
      </c>
      <c r="J5" s="21">
        <f>extendable_generators!J26</f>
        <v>388.87</v>
      </c>
      <c r="K5" s="21">
        <f>extendable_generators!K26</f>
        <v>404.1</v>
      </c>
      <c r="L5" s="21">
        <f>extendable_generators!L26</f>
        <v>418.4</v>
      </c>
      <c r="M5" s="21">
        <f>extendable_generators!M26</f>
        <v>432.19</v>
      </c>
      <c r="N5" s="21">
        <f>extendable_generators!N26</f>
        <v>446.49</v>
      </c>
      <c r="O5" s="21">
        <f>extendable_generators!O26</f>
        <v>462.62</v>
      </c>
      <c r="P5" s="21">
        <f>extendable_generators!P26</f>
        <v>468.14</v>
      </c>
      <c r="Q5" s="21">
        <f>extendable_generators!Q26</f>
        <v>468.5</v>
      </c>
      <c r="R5" s="21">
        <f>extendable_generators!R26</f>
        <v>473.81</v>
      </c>
      <c r="S5" s="21">
        <f>extendable_generators!S26</f>
        <v>479.77</v>
      </c>
      <c r="T5" s="21">
        <f>extendable_generators!T26</f>
        <v>483.6</v>
      </c>
      <c r="U5" s="21">
        <f>extendable_generators!U26</f>
        <v>487.23</v>
      </c>
      <c r="V5" s="21">
        <f>extendable_generators!V26</f>
        <v>492.08</v>
      </c>
      <c r="W5" s="21">
        <f>extendable_generators!W26</f>
        <v>497.73</v>
      </c>
      <c r="X5" s="21">
        <f>extendable_generators!X26</f>
        <v>504.74</v>
      </c>
      <c r="Y5" s="21">
        <f>extendable_generators!Y26</f>
        <v>509.26</v>
      </c>
      <c r="Z5" s="21">
        <f>extendable_generators!Z26</f>
        <v>505.89</v>
      </c>
      <c r="AA5" s="21">
        <f>extendable_generators!AA26</f>
        <v>514.87</v>
      </c>
      <c r="AB5" s="21">
        <f>extendable_generators!AB26</f>
        <v>519.71</v>
      </c>
      <c r="AC5" s="21">
        <f>extendable_generators!AC26</f>
        <v>523.98</v>
      </c>
      <c r="AD5" s="21">
        <f>extendable_generators!AD26</f>
        <v>526.21</v>
      </c>
      <c r="AE5" s="21">
        <f>extendable_generators!AE26</f>
        <v>525.22</v>
      </c>
      <c r="AF5" s="21">
        <f>extendable_generators!AF26</f>
        <v>532.99</v>
      </c>
      <c r="AG5" s="21">
        <f>extendable_generators!AG26</f>
        <v>536.15</v>
      </c>
      <c r="AH5" s="21">
        <f>extendable_generators!AH26</f>
        <v>540.24</v>
      </c>
      <c r="AI5" s="21">
        <f>extendable_generators!AI26</f>
        <v>543.9</v>
      </c>
      <c r="AJ5" s="21">
        <f>extendable_generators!AJ26</f>
        <v>544</v>
      </c>
      <c r="AK5" s="21">
        <f>extendable_generators!AK26</f>
        <v>544</v>
      </c>
      <c r="AL5" s="21">
        <f>extendable_generators!AL26</f>
        <v>544</v>
      </c>
      <c r="AM5" s="21">
        <f>extendable_generators!AM26</f>
        <v>544</v>
      </c>
      <c r="AN5" s="21">
        <f>extendable_generators!AN26</f>
        <v>544</v>
      </c>
      <c r="AO5" s="21">
        <f>extendable_generators!AO26</f>
        <v>544</v>
      </c>
      <c r="AP5" s="21">
        <f>extendable_generators!AP26</f>
        <v>544</v>
      </c>
      <c r="AQ5" s="21">
        <f>extendable_generators!AQ26</f>
        <v>544</v>
      </c>
      <c r="AR5" s="21">
        <f>extendable_generators!AR26</f>
        <v>544</v>
      </c>
      <c r="AS5" s="21">
        <f>extendable_generators!AS26</f>
        <v>544</v>
      </c>
    </row>
    <row r="6" spans="1:45" x14ac:dyDescent="0.2">
      <c r="A6" s="73" t="str">
        <f>A5</f>
        <v>HIGH</v>
      </c>
      <c r="B6" s="68" t="s">
        <v>55</v>
      </c>
      <c r="C6" s="4" t="s">
        <v>3</v>
      </c>
      <c r="J6" s="34">
        <f>0.74*J4</f>
        <v>27.928427577960285</v>
      </c>
      <c r="K6" s="34">
        <f t="shared" ref="K6:AS6" si="51">0.74*K4</f>
        <v>30.822512113036641</v>
      </c>
      <c r="L6" s="34">
        <f t="shared" si="51"/>
        <v>34.463068276396726</v>
      </c>
      <c r="M6" s="34">
        <f t="shared" si="51"/>
        <v>36.484393658946132</v>
      </c>
      <c r="N6" s="34">
        <f t="shared" si="51"/>
        <v>38.740918922054213</v>
      </c>
      <c r="O6" s="34">
        <f t="shared" si="51"/>
        <v>41.152010308571221</v>
      </c>
      <c r="P6" s="34">
        <f t="shared" si="51"/>
        <v>41.152010308571221</v>
      </c>
      <c r="Q6" s="34">
        <f t="shared" si="51"/>
        <v>41.152010308571221</v>
      </c>
      <c r="R6" s="34">
        <f t="shared" si="51"/>
        <v>41.152010308571221</v>
      </c>
      <c r="S6" s="34">
        <f t="shared" si="51"/>
        <v>41.152010308571221</v>
      </c>
      <c r="T6" s="34">
        <f t="shared" si="51"/>
        <v>41.152010308571221</v>
      </c>
      <c r="U6" s="34">
        <f t="shared" si="51"/>
        <v>41.152010308571221</v>
      </c>
      <c r="V6" s="34">
        <f t="shared" si="51"/>
        <v>41.152010308571221</v>
      </c>
      <c r="W6" s="34">
        <f t="shared" si="51"/>
        <v>41.152010308571221</v>
      </c>
      <c r="X6" s="34">
        <f t="shared" si="51"/>
        <v>41.152010308571221</v>
      </c>
      <c r="Y6" s="34">
        <f t="shared" si="51"/>
        <v>41.152010308571221</v>
      </c>
      <c r="Z6" s="34">
        <f t="shared" si="51"/>
        <v>41.152010308571221</v>
      </c>
      <c r="AA6" s="34">
        <f t="shared" si="51"/>
        <v>41.152010308571221</v>
      </c>
      <c r="AB6" s="34">
        <f t="shared" si="51"/>
        <v>41.152010308571221</v>
      </c>
      <c r="AC6" s="34">
        <f t="shared" si="51"/>
        <v>41.152010308571221</v>
      </c>
      <c r="AD6" s="34">
        <f t="shared" si="51"/>
        <v>41.152010308571221</v>
      </c>
      <c r="AE6" s="34">
        <f t="shared" si="51"/>
        <v>41.152010308571221</v>
      </c>
      <c r="AF6" s="34">
        <f t="shared" si="51"/>
        <v>41.152010308571221</v>
      </c>
      <c r="AG6" s="34">
        <f t="shared" si="51"/>
        <v>41.152010308571221</v>
      </c>
      <c r="AH6" s="34">
        <f t="shared" si="51"/>
        <v>41.152010308571221</v>
      </c>
      <c r="AI6" s="34">
        <f t="shared" si="51"/>
        <v>41.152010308571221</v>
      </c>
      <c r="AJ6" s="34">
        <f t="shared" si="51"/>
        <v>41.152010308571221</v>
      </c>
      <c r="AK6" s="34">
        <f t="shared" si="51"/>
        <v>41.152010308571221</v>
      </c>
      <c r="AL6" s="34">
        <f t="shared" si="51"/>
        <v>41.152010308571221</v>
      </c>
      <c r="AM6" s="34">
        <f t="shared" si="51"/>
        <v>41.152010308571221</v>
      </c>
      <c r="AN6" s="34">
        <f t="shared" si="51"/>
        <v>41.152010308571221</v>
      </c>
      <c r="AO6" s="34">
        <f t="shared" si="51"/>
        <v>41.152010308571221</v>
      </c>
      <c r="AP6" s="34">
        <f t="shared" si="51"/>
        <v>41.152010308571221</v>
      </c>
      <c r="AQ6" s="34">
        <f t="shared" si="51"/>
        <v>41.152010308571221</v>
      </c>
      <c r="AR6" s="34">
        <f t="shared" si="51"/>
        <v>41.152010308571221</v>
      </c>
      <c r="AS6" s="34">
        <f t="shared" si="51"/>
        <v>41.152010308571221</v>
      </c>
    </row>
    <row r="7" spans="1:45" x14ac:dyDescent="0.2">
      <c r="A7" s="73" t="str">
        <f>A8</f>
        <v>HIGH</v>
      </c>
      <c r="B7" s="67" t="s">
        <v>56</v>
      </c>
      <c r="C7" s="4" t="s">
        <v>3</v>
      </c>
      <c r="J7" s="34">
        <f>1.06*J4</f>
        <v>40.005585449510683</v>
      </c>
      <c r="K7" s="34">
        <f t="shared" ref="K7:AS7" si="52">1.06*K4</f>
        <v>44.151165999755193</v>
      </c>
      <c r="L7" s="34">
        <f t="shared" si="52"/>
        <v>49.366016720243962</v>
      </c>
      <c r="M7" s="34">
        <f t="shared" si="52"/>
        <v>52.261428754706628</v>
      </c>
      <c r="N7" s="34">
        <f t="shared" si="52"/>
        <v>55.493748726185771</v>
      </c>
      <c r="O7" s="34">
        <f t="shared" si="52"/>
        <v>58.947474225791211</v>
      </c>
      <c r="P7" s="34">
        <f t="shared" si="52"/>
        <v>58.947474225791211</v>
      </c>
      <c r="Q7" s="34">
        <f t="shared" si="52"/>
        <v>58.947474225791211</v>
      </c>
      <c r="R7" s="34">
        <f t="shared" si="52"/>
        <v>58.947474225791211</v>
      </c>
      <c r="S7" s="34">
        <f t="shared" si="52"/>
        <v>58.947474225791211</v>
      </c>
      <c r="T7" s="34">
        <f t="shared" si="52"/>
        <v>58.947474225791211</v>
      </c>
      <c r="U7" s="34">
        <f t="shared" si="52"/>
        <v>58.947474225791211</v>
      </c>
      <c r="V7" s="34">
        <f t="shared" si="52"/>
        <v>58.947474225791211</v>
      </c>
      <c r="W7" s="34">
        <f t="shared" si="52"/>
        <v>58.947474225791211</v>
      </c>
      <c r="X7" s="34">
        <f t="shared" si="52"/>
        <v>58.947474225791211</v>
      </c>
      <c r="Y7" s="34">
        <f t="shared" si="52"/>
        <v>58.947474225791211</v>
      </c>
      <c r="Z7" s="34">
        <f t="shared" si="52"/>
        <v>58.947474225791211</v>
      </c>
      <c r="AA7" s="34">
        <f t="shared" si="52"/>
        <v>58.947474225791211</v>
      </c>
      <c r="AB7" s="34">
        <f t="shared" si="52"/>
        <v>58.947474225791211</v>
      </c>
      <c r="AC7" s="34">
        <f t="shared" si="52"/>
        <v>58.947474225791211</v>
      </c>
      <c r="AD7" s="34">
        <f t="shared" si="52"/>
        <v>58.947474225791211</v>
      </c>
      <c r="AE7" s="34">
        <f t="shared" si="52"/>
        <v>58.947474225791211</v>
      </c>
      <c r="AF7" s="34">
        <f t="shared" si="52"/>
        <v>58.947474225791211</v>
      </c>
      <c r="AG7" s="34">
        <f t="shared" si="52"/>
        <v>58.947474225791211</v>
      </c>
      <c r="AH7" s="34">
        <f t="shared" si="52"/>
        <v>58.947474225791211</v>
      </c>
      <c r="AI7" s="34">
        <f t="shared" si="52"/>
        <v>58.947474225791211</v>
      </c>
      <c r="AJ7" s="34">
        <f t="shared" si="52"/>
        <v>58.947474225791211</v>
      </c>
      <c r="AK7" s="34">
        <f t="shared" si="52"/>
        <v>58.947474225791211</v>
      </c>
      <c r="AL7" s="34">
        <f t="shared" si="52"/>
        <v>58.947474225791211</v>
      </c>
      <c r="AM7" s="34">
        <f t="shared" si="52"/>
        <v>58.947474225791211</v>
      </c>
      <c r="AN7" s="34">
        <f t="shared" si="52"/>
        <v>58.947474225791211</v>
      </c>
      <c r="AO7" s="34">
        <f t="shared" si="52"/>
        <v>58.947474225791211</v>
      </c>
      <c r="AP7" s="34">
        <f t="shared" si="52"/>
        <v>58.947474225791211</v>
      </c>
      <c r="AQ7" s="34">
        <f t="shared" si="52"/>
        <v>58.947474225791211</v>
      </c>
      <c r="AR7" s="34">
        <f t="shared" si="52"/>
        <v>58.947474225791211</v>
      </c>
      <c r="AS7" s="34">
        <f t="shared" si="52"/>
        <v>58.947474225791211</v>
      </c>
    </row>
    <row r="8" spans="1:45" x14ac:dyDescent="0.2">
      <c r="A8" s="74" t="str">
        <f>A6</f>
        <v>HIGH</v>
      </c>
      <c r="B8" s="69" t="s">
        <v>57</v>
      </c>
      <c r="C8" s="56" t="s">
        <v>3</v>
      </c>
      <c r="D8" s="59"/>
      <c r="E8" s="59"/>
      <c r="F8" s="59"/>
      <c r="G8" s="59"/>
      <c r="H8" s="59"/>
      <c r="I8" s="59"/>
      <c r="J8" s="61">
        <f>1.28*J4</f>
        <v>48.308631486201577</v>
      </c>
      <c r="K8" s="61">
        <f t="shared" ref="K8:AS8" si="53">1.28*K4</f>
        <v>53.314615546874194</v>
      </c>
      <c r="L8" s="61">
        <f t="shared" si="53"/>
        <v>59.611793775388932</v>
      </c>
      <c r="M8" s="61">
        <f t="shared" si="53"/>
        <v>63.108140383041963</v>
      </c>
      <c r="N8" s="61">
        <f t="shared" si="53"/>
        <v>67.011319216526203</v>
      </c>
      <c r="O8" s="61">
        <f t="shared" si="53"/>
        <v>71.181855668879948</v>
      </c>
      <c r="P8" s="61">
        <f t="shared" si="53"/>
        <v>71.181855668879948</v>
      </c>
      <c r="Q8" s="61">
        <f t="shared" si="53"/>
        <v>71.181855668879948</v>
      </c>
      <c r="R8" s="61">
        <f t="shared" si="53"/>
        <v>71.181855668879948</v>
      </c>
      <c r="S8" s="61">
        <f t="shared" si="53"/>
        <v>71.181855668879948</v>
      </c>
      <c r="T8" s="61">
        <f t="shared" si="53"/>
        <v>71.181855668879948</v>
      </c>
      <c r="U8" s="61">
        <f t="shared" si="53"/>
        <v>71.181855668879948</v>
      </c>
      <c r="V8" s="61">
        <f t="shared" si="53"/>
        <v>71.181855668879948</v>
      </c>
      <c r="W8" s="61">
        <f t="shared" si="53"/>
        <v>71.181855668879948</v>
      </c>
      <c r="X8" s="61">
        <f t="shared" si="53"/>
        <v>71.181855668879948</v>
      </c>
      <c r="Y8" s="61">
        <f t="shared" si="53"/>
        <v>71.181855668879948</v>
      </c>
      <c r="Z8" s="61">
        <f t="shared" si="53"/>
        <v>71.181855668879948</v>
      </c>
      <c r="AA8" s="61">
        <f t="shared" si="53"/>
        <v>71.181855668879948</v>
      </c>
      <c r="AB8" s="61">
        <f t="shared" si="53"/>
        <v>71.181855668879948</v>
      </c>
      <c r="AC8" s="61">
        <f t="shared" si="53"/>
        <v>71.181855668879948</v>
      </c>
      <c r="AD8" s="61">
        <f t="shared" si="53"/>
        <v>71.181855668879948</v>
      </c>
      <c r="AE8" s="61">
        <f t="shared" si="53"/>
        <v>71.181855668879948</v>
      </c>
      <c r="AF8" s="61">
        <f t="shared" si="53"/>
        <v>71.181855668879948</v>
      </c>
      <c r="AG8" s="61">
        <f t="shared" si="53"/>
        <v>71.181855668879948</v>
      </c>
      <c r="AH8" s="61">
        <f t="shared" si="53"/>
        <v>71.181855668879948</v>
      </c>
      <c r="AI8" s="61">
        <f t="shared" si="53"/>
        <v>71.181855668879948</v>
      </c>
      <c r="AJ8" s="61">
        <f t="shared" si="53"/>
        <v>71.181855668879948</v>
      </c>
      <c r="AK8" s="61">
        <f t="shared" si="53"/>
        <v>71.181855668879948</v>
      </c>
      <c r="AL8" s="61">
        <f t="shared" si="53"/>
        <v>71.181855668879948</v>
      </c>
      <c r="AM8" s="61">
        <f t="shared" si="53"/>
        <v>71.181855668879948</v>
      </c>
      <c r="AN8" s="61">
        <f t="shared" si="53"/>
        <v>71.181855668879948</v>
      </c>
      <c r="AO8" s="61">
        <f t="shared" si="53"/>
        <v>71.181855668879948</v>
      </c>
      <c r="AP8" s="61">
        <f t="shared" si="53"/>
        <v>71.181855668879948</v>
      </c>
      <c r="AQ8" s="61">
        <f t="shared" si="53"/>
        <v>71.181855668879948</v>
      </c>
      <c r="AR8" s="61">
        <f t="shared" si="53"/>
        <v>71.181855668879948</v>
      </c>
      <c r="AS8" s="61">
        <f t="shared" si="53"/>
        <v>71.181855668879948</v>
      </c>
    </row>
    <row r="9" spans="1:45" x14ac:dyDescent="0.2">
      <c r="A9" s="75" t="s">
        <v>26</v>
      </c>
      <c r="B9" s="3" t="s">
        <v>33</v>
      </c>
      <c r="C9" s="4" t="s">
        <v>3</v>
      </c>
      <c r="D9" s="5"/>
      <c r="E9" s="5"/>
      <c r="F9" s="5"/>
      <c r="G9" s="5"/>
      <c r="H9" s="5"/>
      <c r="I9" s="5"/>
      <c r="J9" s="6">
        <v>37.741118348594981</v>
      </c>
      <c r="K9" s="6">
        <v>41.652043395995463</v>
      </c>
      <c r="L9" s="6">
        <v>46.571713887022604</v>
      </c>
      <c r="M9" s="6">
        <v>49.303234674251534</v>
      </c>
      <c r="N9" s="6">
        <v>52.3525931379111</v>
      </c>
      <c r="O9" s="6">
        <v>55.610824741312463</v>
      </c>
      <c r="P9" s="6">
        <f>O9</f>
        <v>55.610824741312463</v>
      </c>
      <c r="Q9" s="6">
        <f t="shared" ref="Q9" si="54">P9</f>
        <v>55.610824741312463</v>
      </c>
      <c r="R9" s="6">
        <f t="shared" ref="R9" si="55">Q9</f>
        <v>55.610824741312463</v>
      </c>
      <c r="S9" s="6">
        <f t="shared" ref="S9" si="56">R9</f>
        <v>55.610824741312463</v>
      </c>
      <c r="T9" s="6">
        <f t="shared" ref="T9" si="57">S9</f>
        <v>55.610824741312463</v>
      </c>
      <c r="U9" s="6">
        <f t="shared" ref="U9" si="58">T9</f>
        <v>55.610824741312463</v>
      </c>
      <c r="V9" s="6">
        <f t="shared" ref="V9" si="59">U9</f>
        <v>55.610824741312463</v>
      </c>
      <c r="W9" s="6">
        <f t="shared" ref="W9" si="60">V9</f>
        <v>55.610824741312463</v>
      </c>
      <c r="X9" s="6">
        <f t="shared" ref="X9" si="61">W9</f>
        <v>55.610824741312463</v>
      </c>
      <c r="Y9" s="6">
        <f t="shared" ref="Y9" si="62">X9</f>
        <v>55.610824741312463</v>
      </c>
      <c r="Z9" s="6">
        <f t="shared" ref="Z9" si="63">Y9</f>
        <v>55.610824741312463</v>
      </c>
      <c r="AA9" s="6">
        <f t="shared" ref="AA9" si="64">Z9</f>
        <v>55.610824741312463</v>
      </c>
      <c r="AB9" s="6">
        <f t="shared" ref="AB9" si="65">AA9</f>
        <v>55.610824741312463</v>
      </c>
      <c r="AC9" s="6">
        <f t="shared" ref="AC9" si="66">AB9</f>
        <v>55.610824741312463</v>
      </c>
      <c r="AD9" s="6">
        <f t="shared" ref="AD9" si="67">AC9</f>
        <v>55.610824741312463</v>
      </c>
      <c r="AE9" s="6">
        <f t="shared" ref="AE9" si="68">AD9</f>
        <v>55.610824741312463</v>
      </c>
      <c r="AF9" s="6">
        <f t="shared" ref="AF9" si="69">AE9</f>
        <v>55.610824741312463</v>
      </c>
      <c r="AG9" s="6">
        <f t="shared" ref="AG9" si="70">AF9</f>
        <v>55.610824741312463</v>
      </c>
      <c r="AH9" s="6">
        <f t="shared" ref="AH9" si="71">AG9</f>
        <v>55.610824741312463</v>
      </c>
      <c r="AI9" s="6">
        <f t="shared" ref="AI9" si="72">AH9</f>
        <v>55.610824741312463</v>
      </c>
      <c r="AJ9" s="6">
        <f t="shared" ref="AJ9" si="73">AI9</f>
        <v>55.610824741312463</v>
      </c>
      <c r="AK9" s="6">
        <f t="shared" ref="AK9" si="74">AJ9</f>
        <v>55.610824741312463</v>
      </c>
      <c r="AL9" s="6">
        <f t="shared" ref="AL9" si="75">AK9</f>
        <v>55.610824741312463</v>
      </c>
      <c r="AM9" s="6">
        <f t="shared" ref="AM9" si="76">AL9</f>
        <v>55.610824741312463</v>
      </c>
      <c r="AN9" s="6">
        <f t="shared" ref="AN9" si="77">AM9</f>
        <v>55.610824741312463</v>
      </c>
      <c r="AO9" s="6">
        <f t="shared" ref="AO9" si="78">AN9</f>
        <v>55.610824741312463</v>
      </c>
      <c r="AP9" s="6">
        <f t="shared" ref="AP9" si="79">AO9</f>
        <v>55.610824741312463</v>
      </c>
      <c r="AQ9" s="6">
        <f t="shared" ref="AQ9" si="80">AP9</f>
        <v>55.610824741312463</v>
      </c>
      <c r="AR9" s="6">
        <f t="shared" ref="AR9" si="81">AQ9</f>
        <v>55.610824741312463</v>
      </c>
      <c r="AS9" s="6">
        <f t="shared" ref="AS9" si="82">AR9</f>
        <v>55.610824741312463</v>
      </c>
    </row>
    <row r="10" spans="1:45" x14ac:dyDescent="0.2">
      <c r="A10" s="75" t="str">
        <f>A9</f>
        <v>BASE</v>
      </c>
      <c r="B10" s="8" t="s">
        <v>34</v>
      </c>
      <c r="C10" s="4" t="s">
        <v>3</v>
      </c>
      <c r="D10" s="9">
        <v>816</v>
      </c>
      <c r="E10" s="9">
        <v>816</v>
      </c>
      <c r="F10" s="9">
        <v>816</v>
      </c>
      <c r="G10" s="9">
        <v>816</v>
      </c>
      <c r="H10" s="9">
        <v>816</v>
      </c>
      <c r="I10" s="9">
        <v>816</v>
      </c>
      <c r="J10" s="23">
        <f>extendable_generators!J38</f>
        <v>388.87</v>
      </c>
      <c r="K10" s="23">
        <f>extendable_generators!K38</f>
        <v>388.6</v>
      </c>
      <c r="L10" s="23">
        <f>extendable_generators!L38</f>
        <v>386.77</v>
      </c>
      <c r="M10" s="23">
        <f>extendable_generators!M38</f>
        <v>384.37</v>
      </c>
      <c r="N10" s="23">
        <f>extendable_generators!N38</f>
        <v>382.13</v>
      </c>
      <c r="O10" s="23">
        <f>extendable_generators!O38</f>
        <v>381.53</v>
      </c>
      <c r="P10" s="23">
        <f>extendable_generators!P38</f>
        <v>383.6</v>
      </c>
      <c r="Q10" s="23">
        <f>extendable_generators!Q38</f>
        <v>381.66</v>
      </c>
      <c r="R10" s="23">
        <f>extendable_generators!R38</f>
        <v>386.9</v>
      </c>
      <c r="S10" s="23">
        <f>extendable_generators!S38</f>
        <v>389.56</v>
      </c>
      <c r="T10" s="23">
        <f>extendable_generators!T38</f>
        <v>390.76</v>
      </c>
      <c r="U10" s="23">
        <f>extendable_generators!U38</f>
        <v>391.8</v>
      </c>
      <c r="V10" s="23">
        <f>extendable_generators!V38</f>
        <v>394.01</v>
      </c>
      <c r="W10" s="23">
        <f>extendable_generators!W38</f>
        <v>395.09</v>
      </c>
      <c r="X10" s="23">
        <f>extendable_generators!X38</f>
        <v>397.38</v>
      </c>
      <c r="Y10" s="23">
        <f>extendable_generators!Y38</f>
        <v>399.25</v>
      </c>
      <c r="Z10" s="23">
        <f>extendable_generators!Z38</f>
        <v>400.63</v>
      </c>
      <c r="AA10" s="23">
        <f>extendable_generators!AA38</f>
        <v>400.03</v>
      </c>
      <c r="AB10" s="23">
        <f>extendable_generators!AB38</f>
        <v>404.73</v>
      </c>
      <c r="AC10" s="23">
        <f>extendable_generators!AC38</f>
        <v>404.67</v>
      </c>
      <c r="AD10" s="23">
        <f>extendable_generators!AD38</f>
        <v>406.38</v>
      </c>
      <c r="AE10" s="23">
        <f>extendable_generators!AE38</f>
        <v>408.01</v>
      </c>
      <c r="AF10" s="23">
        <f>extendable_generators!AF38</f>
        <v>417.44</v>
      </c>
      <c r="AG10" s="23">
        <f>extendable_generators!AG38</f>
        <v>419.63</v>
      </c>
      <c r="AH10" s="23">
        <f>extendable_generators!AH38</f>
        <v>422.8</v>
      </c>
      <c r="AI10" s="23">
        <f>extendable_generators!AI38</f>
        <v>424.07</v>
      </c>
      <c r="AJ10" s="23">
        <f>extendable_generators!AJ38</f>
        <v>424</v>
      </c>
      <c r="AK10" s="23">
        <f>extendable_generators!AK38</f>
        <v>424</v>
      </c>
      <c r="AL10" s="23">
        <f>extendable_generators!AL38</f>
        <v>424</v>
      </c>
      <c r="AM10" s="23">
        <f>extendable_generators!AM38</f>
        <v>424</v>
      </c>
      <c r="AN10" s="23">
        <f>extendable_generators!AN38</f>
        <v>424</v>
      </c>
      <c r="AO10" s="23">
        <f>extendable_generators!AO38</f>
        <v>424</v>
      </c>
      <c r="AP10" s="23">
        <f>extendable_generators!AP38</f>
        <v>424</v>
      </c>
      <c r="AQ10" s="23">
        <f>extendable_generators!AQ38</f>
        <v>424</v>
      </c>
      <c r="AR10" s="23">
        <f>extendable_generators!AR38</f>
        <v>424</v>
      </c>
      <c r="AS10" s="23">
        <f>extendable_generators!AS38</f>
        <v>424</v>
      </c>
    </row>
    <row r="11" spans="1:45" x14ac:dyDescent="0.2">
      <c r="A11" s="75" t="str">
        <f>A10</f>
        <v>BASE</v>
      </c>
      <c r="B11" s="68" t="s">
        <v>55</v>
      </c>
      <c r="C11" s="4" t="s">
        <v>3</v>
      </c>
      <c r="J11" s="34">
        <f>0.74*J9</f>
        <v>27.928427577960285</v>
      </c>
      <c r="K11" s="34">
        <f t="shared" ref="K11:AS11" si="83">0.74*K9</f>
        <v>30.822512113036641</v>
      </c>
      <c r="L11" s="34">
        <f t="shared" si="83"/>
        <v>34.463068276396726</v>
      </c>
      <c r="M11" s="34">
        <f t="shared" si="83"/>
        <v>36.484393658946132</v>
      </c>
      <c r="N11" s="34">
        <f t="shared" si="83"/>
        <v>38.740918922054213</v>
      </c>
      <c r="O11" s="34">
        <f t="shared" si="83"/>
        <v>41.152010308571221</v>
      </c>
      <c r="P11" s="34">
        <f t="shared" si="83"/>
        <v>41.152010308571221</v>
      </c>
      <c r="Q11" s="34">
        <f t="shared" si="83"/>
        <v>41.152010308571221</v>
      </c>
      <c r="R11" s="34">
        <f t="shared" si="83"/>
        <v>41.152010308571221</v>
      </c>
      <c r="S11" s="34">
        <f t="shared" si="83"/>
        <v>41.152010308571221</v>
      </c>
      <c r="T11" s="34">
        <f t="shared" si="83"/>
        <v>41.152010308571221</v>
      </c>
      <c r="U11" s="34">
        <f t="shared" si="83"/>
        <v>41.152010308571221</v>
      </c>
      <c r="V11" s="34">
        <f t="shared" si="83"/>
        <v>41.152010308571221</v>
      </c>
      <c r="W11" s="34">
        <f t="shared" si="83"/>
        <v>41.152010308571221</v>
      </c>
      <c r="X11" s="34">
        <f t="shared" si="83"/>
        <v>41.152010308571221</v>
      </c>
      <c r="Y11" s="34">
        <f t="shared" si="83"/>
        <v>41.152010308571221</v>
      </c>
      <c r="Z11" s="34">
        <f t="shared" si="83"/>
        <v>41.152010308571221</v>
      </c>
      <c r="AA11" s="34">
        <f t="shared" si="83"/>
        <v>41.152010308571221</v>
      </c>
      <c r="AB11" s="34">
        <f t="shared" si="83"/>
        <v>41.152010308571221</v>
      </c>
      <c r="AC11" s="34">
        <f t="shared" si="83"/>
        <v>41.152010308571221</v>
      </c>
      <c r="AD11" s="34">
        <f t="shared" si="83"/>
        <v>41.152010308571221</v>
      </c>
      <c r="AE11" s="34">
        <f t="shared" si="83"/>
        <v>41.152010308571221</v>
      </c>
      <c r="AF11" s="34">
        <f t="shared" si="83"/>
        <v>41.152010308571221</v>
      </c>
      <c r="AG11" s="34">
        <f t="shared" si="83"/>
        <v>41.152010308571221</v>
      </c>
      <c r="AH11" s="34">
        <f t="shared" si="83"/>
        <v>41.152010308571221</v>
      </c>
      <c r="AI11" s="34">
        <f t="shared" si="83"/>
        <v>41.152010308571221</v>
      </c>
      <c r="AJ11" s="34">
        <f t="shared" si="83"/>
        <v>41.152010308571221</v>
      </c>
      <c r="AK11" s="34">
        <f t="shared" si="83"/>
        <v>41.152010308571221</v>
      </c>
      <c r="AL11" s="34">
        <f t="shared" si="83"/>
        <v>41.152010308571221</v>
      </c>
      <c r="AM11" s="34">
        <f t="shared" si="83"/>
        <v>41.152010308571221</v>
      </c>
      <c r="AN11" s="34">
        <f t="shared" si="83"/>
        <v>41.152010308571221</v>
      </c>
      <c r="AO11" s="34">
        <f t="shared" si="83"/>
        <v>41.152010308571221</v>
      </c>
      <c r="AP11" s="34">
        <f t="shared" si="83"/>
        <v>41.152010308571221</v>
      </c>
      <c r="AQ11" s="34">
        <f t="shared" si="83"/>
        <v>41.152010308571221</v>
      </c>
      <c r="AR11" s="34">
        <f t="shared" si="83"/>
        <v>41.152010308571221</v>
      </c>
      <c r="AS11" s="34">
        <f t="shared" si="83"/>
        <v>41.152010308571221</v>
      </c>
    </row>
    <row r="12" spans="1:45" x14ac:dyDescent="0.2">
      <c r="A12" s="75" t="str">
        <f>A11</f>
        <v>BASE</v>
      </c>
      <c r="B12" s="67" t="s">
        <v>56</v>
      </c>
      <c r="C12" s="4" t="s">
        <v>3</v>
      </c>
      <c r="J12" s="34">
        <f>1.06*J9</f>
        <v>40.005585449510683</v>
      </c>
      <c r="K12" s="34">
        <f t="shared" ref="K12:AS12" si="84">1.06*K9</f>
        <v>44.151165999755193</v>
      </c>
      <c r="L12" s="34">
        <f t="shared" si="84"/>
        <v>49.366016720243962</v>
      </c>
      <c r="M12" s="34">
        <f t="shared" si="84"/>
        <v>52.261428754706628</v>
      </c>
      <c r="N12" s="34">
        <f t="shared" si="84"/>
        <v>55.493748726185771</v>
      </c>
      <c r="O12" s="34">
        <f t="shared" si="84"/>
        <v>58.947474225791211</v>
      </c>
      <c r="P12" s="34">
        <f t="shared" si="84"/>
        <v>58.947474225791211</v>
      </c>
      <c r="Q12" s="34">
        <f t="shared" si="84"/>
        <v>58.947474225791211</v>
      </c>
      <c r="R12" s="34">
        <f t="shared" si="84"/>
        <v>58.947474225791211</v>
      </c>
      <c r="S12" s="34">
        <f t="shared" si="84"/>
        <v>58.947474225791211</v>
      </c>
      <c r="T12" s="34">
        <f t="shared" si="84"/>
        <v>58.947474225791211</v>
      </c>
      <c r="U12" s="34">
        <f t="shared" si="84"/>
        <v>58.947474225791211</v>
      </c>
      <c r="V12" s="34">
        <f t="shared" si="84"/>
        <v>58.947474225791211</v>
      </c>
      <c r="W12" s="34">
        <f t="shared" si="84"/>
        <v>58.947474225791211</v>
      </c>
      <c r="X12" s="34">
        <f t="shared" si="84"/>
        <v>58.947474225791211</v>
      </c>
      <c r="Y12" s="34">
        <f t="shared" si="84"/>
        <v>58.947474225791211</v>
      </c>
      <c r="Z12" s="34">
        <f t="shared" si="84"/>
        <v>58.947474225791211</v>
      </c>
      <c r="AA12" s="34">
        <f t="shared" si="84"/>
        <v>58.947474225791211</v>
      </c>
      <c r="AB12" s="34">
        <f t="shared" si="84"/>
        <v>58.947474225791211</v>
      </c>
      <c r="AC12" s="34">
        <f t="shared" si="84"/>
        <v>58.947474225791211</v>
      </c>
      <c r="AD12" s="34">
        <f t="shared" si="84"/>
        <v>58.947474225791211</v>
      </c>
      <c r="AE12" s="34">
        <f t="shared" si="84"/>
        <v>58.947474225791211</v>
      </c>
      <c r="AF12" s="34">
        <f t="shared" si="84"/>
        <v>58.947474225791211</v>
      </c>
      <c r="AG12" s="34">
        <f t="shared" si="84"/>
        <v>58.947474225791211</v>
      </c>
      <c r="AH12" s="34">
        <f t="shared" si="84"/>
        <v>58.947474225791211</v>
      </c>
      <c r="AI12" s="34">
        <f t="shared" si="84"/>
        <v>58.947474225791211</v>
      </c>
      <c r="AJ12" s="34">
        <f t="shared" si="84"/>
        <v>58.947474225791211</v>
      </c>
      <c r="AK12" s="34">
        <f t="shared" si="84"/>
        <v>58.947474225791211</v>
      </c>
      <c r="AL12" s="34">
        <f t="shared" si="84"/>
        <v>58.947474225791211</v>
      </c>
      <c r="AM12" s="34">
        <f t="shared" si="84"/>
        <v>58.947474225791211</v>
      </c>
      <c r="AN12" s="34">
        <f t="shared" si="84"/>
        <v>58.947474225791211</v>
      </c>
      <c r="AO12" s="34">
        <f t="shared" si="84"/>
        <v>58.947474225791211</v>
      </c>
      <c r="AP12" s="34">
        <f t="shared" si="84"/>
        <v>58.947474225791211</v>
      </c>
      <c r="AQ12" s="34">
        <f t="shared" si="84"/>
        <v>58.947474225791211</v>
      </c>
      <c r="AR12" s="34">
        <f t="shared" si="84"/>
        <v>58.947474225791211</v>
      </c>
      <c r="AS12" s="34">
        <f t="shared" si="84"/>
        <v>58.947474225791211</v>
      </c>
    </row>
    <row r="13" spans="1:45" x14ac:dyDescent="0.2">
      <c r="A13" s="75" t="str">
        <f>A12</f>
        <v>BASE</v>
      </c>
      <c r="B13" s="69" t="s">
        <v>57</v>
      </c>
      <c r="C13" s="56" t="s">
        <v>3</v>
      </c>
      <c r="D13" s="59"/>
      <c r="E13" s="59"/>
      <c r="F13" s="59"/>
      <c r="G13" s="59"/>
      <c r="H13" s="59"/>
      <c r="I13" s="59"/>
      <c r="J13" s="61">
        <f>1.28*J9</f>
        <v>48.308631486201577</v>
      </c>
      <c r="K13" s="61">
        <f t="shared" ref="K13:AS13" si="85">1.28*K9</f>
        <v>53.314615546874194</v>
      </c>
      <c r="L13" s="61">
        <f t="shared" si="85"/>
        <v>59.611793775388932</v>
      </c>
      <c r="M13" s="61">
        <f t="shared" si="85"/>
        <v>63.108140383041963</v>
      </c>
      <c r="N13" s="61">
        <f t="shared" si="85"/>
        <v>67.011319216526203</v>
      </c>
      <c r="O13" s="61">
        <f t="shared" si="85"/>
        <v>71.181855668879948</v>
      </c>
      <c r="P13" s="61">
        <f t="shared" si="85"/>
        <v>71.181855668879948</v>
      </c>
      <c r="Q13" s="61">
        <f t="shared" si="85"/>
        <v>71.181855668879948</v>
      </c>
      <c r="R13" s="61">
        <f t="shared" si="85"/>
        <v>71.181855668879948</v>
      </c>
      <c r="S13" s="61">
        <f t="shared" si="85"/>
        <v>71.181855668879948</v>
      </c>
      <c r="T13" s="61">
        <f t="shared" si="85"/>
        <v>71.181855668879948</v>
      </c>
      <c r="U13" s="61">
        <f t="shared" si="85"/>
        <v>71.181855668879948</v>
      </c>
      <c r="V13" s="61">
        <f t="shared" si="85"/>
        <v>71.181855668879948</v>
      </c>
      <c r="W13" s="61">
        <f t="shared" si="85"/>
        <v>71.181855668879948</v>
      </c>
      <c r="X13" s="61">
        <f t="shared" si="85"/>
        <v>71.181855668879948</v>
      </c>
      <c r="Y13" s="61">
        <f t="shared" si="85"/>
        <v>71.181855668879948</v>
      </c>
      <c r="Z13" s="61">
        <f t="shared" si="85"/>
        <v>71.181855668879948</v>
      </c>
      <c r="AA13" s="61">
        <f t="shared" si="85"/>
        <v>71.181855668879948</v>
      </c>
      <c r="AB13" s="61">
        <f t="shared" si="85"/>
        <v>71.181855668879948</v>
      </c>
      <c r="AC13" s="61">
        <f t="shared" si="85"/>
        <v>71.181855668879948</v>
      </c>
      <c r="AD13" s="61">
        <f t="shared" si="85"/>
        <v>71.181855668879948</v>
      </c>
      <c r="AE13" s="61">
        <f t="shared" si="85"/>
        <v>71.181855668879948</v>
      </c>
      <c r="AF13" s="61">
        <f t="shared" si="85"/>
        <v>71.181855668879948</v>
      </c>
      <c r="AG13" s="61">
        <f t="shared" si="85"/>
        <v>71.181855668879948</v>
      </c>
      <c r="AH13" s="61">
        <f t="shared" si="85"/>
        <v>71.181855668879948</v>
      </c>
      <c r="AI13" s="61">
        <f t="shared" si="85"/>
        <v>71.181855668879948</v>
      </c>
      <c r="AJ13" s="61">
        <f t="shared" si="85"/>
        <v>71.181855668879948</v>
      </c>
      <c r="AK13" s="61">
        <f t="shared" si="85"/>
        <v>71.181855668879948</v>
      </c>
      <c r="AL13" s="61">
        <f t="shared" si="85"/>
        <v>71.181855668879948</v>
      </c>
      <c r="AM13" s="61">
        <f t="shared" si="85"/>
        <v>71.181855668879948</v>
      </c>
      <c r="AN13" s="61">
        <f t="shared" si="85"/>
        <v>71.181855668879948</v>
      </c>
      <c r="AO13" s="61">
        <f t="shared" si="85"/>
        <v>71.181855668879948</v>
      </c>
      <c r="AP13" s="61">
        <f t="shared" si="85"/>
        <v>71.181855668879948</v>
      </c>
      <c r="AQ13" s="61">
        <f t="shared" si="85"/>
        <v>71.181855668879948</v>
      </c>
      <c r="AR13" s="61">
        <f t="shared" si="85"/>
        <v>71.181855668879948</v>
      </c>
      <c r="AS13" s="61">
        <f t="shared" si="85"/>
        <v>71.181855668879948</v>
      </c>
    </row>
    <row r="14" spans="1:45" x14ac:dyDescent="0.2">
      <c r="A14" s="76" t="s">
        <v>25</v>
      </c>
      <c r="B14" s="3" t="s">
        <v>33</v>
      </c>
      <c r="C14" s="4" t="s">
        <v>3</v>
      </c>
      <c r="D14" s="5"/>
      <c r="E14" s="5"/>
      <c r="F14" s="5"/>
      <c r="G14" s="5"/>
      <c r="H14" s="5"/>
      <c r="I14" s="5"/>
      <c r="J14" s="6">
        <v>37.741118348594981</v>
      </c>
      <c r="K14" s="6">
        <v>41.652043395995463</v>
      </c>
      <c r="L14" s="6">
        <v>46.571713887022604</v>
      </c>
      <c r="M14" s="6">
        <v>49.303234674251534</v>
      </c>
      <c r="N14" s="6">
        <v>52.3525931379111</v>
      </c>
      <c r="O14" s="6">
        <v>55.610824741312463</v>
      </c>
      <c r="P14" s="6">
        <f>O14</f>
        <v>55.610824741312463</v>
      </c>
      <c r="Q14" s="6">
        <f t="shared" ref="Q14" si="86">P14</f>
        <v>55.610824741312463</v>
      </c>
      <c r="R14" s="6">
        <f t="shared" ref="R14" si="87">Q14</f>
        <v>55.610824741312463</v>
      </c>
      <c r="S14" s="6">
        <f t="shared" ref="S14" si="88">R14</f>
        <v>55.610824741312463</v>
      </c>
      <c r="T14" s="6">
        <f t="shared" ref="T14" si="89">S14</f>
        <v>55.610824741312463</v>
      </c>
      <c r="U14" s="6">
        <f t="shared" ref="U14" si="90">T14</f>
        <v>55.610824741312463</v>
      </c>
      <c r="V14" s="6">
        <f t="shared" ref="V14" si="91">U14</f>
        <v>55.610824741312463</v>
      </c>
      <c r="W14" s="6">
        <f t="shared" ref="W14" si="92">V14</f>
        <v>55.610824741312463</v>
      </c>
      <c r="X14" s="6">
        <f t="shared" ref="X14" si="93">W14</f>
        <v>55.610824741312463</v>
      </c>
      <c r="Y14" s="6">
        <f t="shared" ref="Y14" si="94">X14</f>
        <v>55.610824741312463</v>
      </c>
      <c r="Z14" s="6">
        <f t="shared" ref="Z14" si="95">Y14</f>
        <v>55.610824741312463</v>
      </c>
      <c r="AA14" s="6">
        <f t="shared" ref="AA14" si="96">Z14</f>
        <v>55.610824741312463</v>
      </c>
      <c r="AB14" s="6">
        <f t="shared" ref="AB14" si="97">AA14</f>
        <v>55.610824741312463</v>
      </c>
      <c r="AC14" s="6">
        <f t="shared" ref="AC14" si="98">AB14</f>
        <v>55.610824741312463</v>
      </c>
      <c r="AD14" s="6">
        <f t="shared" ref="AD14" si="99">AC14</f>
        <v>55.610824741312463</v>
      </c>
      <c r="AE14" s="6">
        <f t="shared" ref="AE14" si="100">AD14</f>
        <v>55.610824741312463</v>
      </c>
      <c r="AF14" s="6">
        <f t="shared" ref="AF14" si="101">AE14</f>
        <v>55.610824741312463</v>
      </c>
      <c r="AG14" s="6">
        <f t="shared" ref="AG14" si="102">AF14</f>
        <v>55.610824741312463</v>
      </c>
      <c r="AH14" s="6">
        <f t="shared" ref="AH14" si="103">AG14</f>
        <v>55.610824741312463</v>
      </c>
      <c r="AI14" s="6">
        <f t="shared" ref="AI14" si="104">AH14</f>
        <v>55.610824741312463</v>
      </c>
      <c r="AJ14" s="6">
        <f t="shared" ref="AJ14" si="105">AI14</f>
        <v>55.610824741312463</v>
      </c>
      <c r="AK14" s="6">
        <f t="shared" ref="AK14" si="106">AJ14</f>
        <v>55.610824741312463</v>
      </c>
      <c r="AL14" s="6">
        <f t="shared" ref="AL14" si="107">AK14</f>
        <v>55.610824741312463</v>
      </c>
      <c r="AM14" s="6">
        <f t="shared" ref="AM14" si="108">AL14</f>
        <v>55.610824741312463</v>
      </c>
      <c r="AN14" s="6">
        <f t="shared" ref="AN14" si="109">AM14</f>
        <v>55.610824741312463</v>
      </c>
      <c r="AO14" s="6">
        <f t="shared" ref="AO14" si="110">AN14</f>
        <v>55.610824741312463</v>
      </c>
      <c r="AP14" s="6">
        <f t="shared" ref="AP14" si="111">AO14</f>
        <v>55.610824741312463</v>
      </c>
      <c r="AQ14" s="6">
        <f t="shared" ref="AQ14" si="112">AP14</f>
        <v>55.610824741312463</v>
      </c>
      <c r="AR14" s="6">
        <f t="shared" ref="AR14" si="113">AQ14</f>
        <v>55.610824741312463</v>
      </c>
      <c r="AS14" s="6">
        <f t="shared" ref="AS14" si="114">AR14</f>
        <v>55.610824741312463</v>
      </c>
    </row>
    <row r="15" spans="1:45" x14ac:dyDescent="0.2">
      <c r="A15" s="76" t="str">
        <f>A14</f>
        <v>LOW</v>
      </c>
      <c r="B15" s="8" t="s">
        <v>34</v>
      </c>
      <c r="C15" s="4" t="s">
        <v>3</v>
      </c>
      <c r="D15" s="9">
        <v>816</v>
      </c>
      <c r="E15" s="9">
        <v>816</v>
      </c>
      <c r="F15" s="9">
        <v>816</v>
      </c>
      <c r="G15" s="9">
        <v>816</v>
      </c>
      <c r="H15" s="9">
        <v>816</v>
      </c>
      <c r="I15" s="9">
        <v>816</v>
      </c>
      <c r="J15" s="22">
        <f>extendable_generators!J50</f>
        <v>388.87</v>
      </c>
      <c r="K15" s="22">
        <f>extendable_generators!K50</f>
        <v>372.94</v>
      </c>
      <c r="L15" s="22">
        <f>extendable_generators!L50</f>
        <v>356.79</v>
      </c>
      <c r="M15" s="22">
        <f>extendable_generators!M50</f>
        <v>341.89</v>
      </c>
      <c r="N15" s="22">
        <f>extendable_generators!N50</f>
        <v>326.08</v>
      </c>
      <c r="O15" s="22">
        <f>extendable_generators!O50</f>
        <v>311.33</v>
      </c>
      <c r="P15" s="22">
        <f>extendable_generators!P50</f>
        <v>313.23</v>
      </c>
      <c r="Q15" s="22">
        <f>extendable_generators!Q50</f>
        <v>312.72000000000003</v>
      </c>
      <c r="R15" s="22">
        <f>extendable_generators!R50</f>
        <v>316.02999999999997</v>
      </c>
      <c r="S15" s="22">
        <f>extendable_generators!S50</f>
        <v>317.45999999999998</v>
      </c>
      <c r="T15" s="22">
        <f>extendable_generators!T50</f>
        <v>318.45</v>
      </c>
      <c r="U15" s="22">
        <f>extendable_generators!U50</f>
        <v>320.16000000000003</v>
      </c>
      <c r="V15" s="22">
        <f>extendable_generators!V50</f>
        <v>321.70999999999998</v>
      </c>
      <c r="W15" s="22">
        <f>extendable_generators!W50</f>
        <v>323.02999999999997</v>
      </c>
      <c r="X15" s="22">
        <f>extendable_generators!X50</f>
        <v>325.39</v>
      </c>
      <c r="Y15" s="22">
        <f>extendable_generators!Y50</f>
        <v>326.70999999999998</v>
      </c>
      <c r="Z15" s="22">
        <f>extendable_generators!Z50</f>
        <v>327.79</v>
      </c>
      <c r="AA15" s="22">
        <f>extendable_generators!AA50</f>
        <v>327.88</v>
      </c>
      <c r="AB15" s="22">
        <f>extendable_generators!AB50</f>
        <v>330.62</v>
      </c>
      <c r="AC15" s="22">
        <f>extendable_generators!AC50</f>
        <v>330.97</v>
      </c>
      <c r="AD15" s="22">
        <f>extendable_generators!AD50</f>
        <v>332.22</v>
      </c>
      <c r="AE15" s="22">
        <f>extendable_generators!AE50</f>
        <v>335.09</v>
      </c>
      <c r="AF15" s="22">
        <f>extendable_generators!AF50</f>
        <v>339.96</v>
      </c>
      <c r="AG15" s="22">
        <f>extendable_generators!AG50</f>
        <v>341.7</v>
      </c>
      <c r="AH15" s="22">
        <f>extendable_generators!AH50</f>
        <v>343.5</v>
      </c>
      <c r="AI15" s="22">
        <f>extendable_generators!AI50</f>
        <v>344.94</v>
      </c>
      <c r="AJ15" s="22">
        <f>extendable_generators!AJ50</f>
        <v>345</v>
      </c>
      <c r="AK15" s="22">
        <f>extendable_generators!AK50</f>
        <v>345</v>
      </c>
      <c r="AL15" s="22">
        <f>extendable_generators!AL50</f>
        <v>345</v>
      </c>
      <c r="AM15" s="22">
        <f>extendable_generators!AM50</f>
        <v>345</v>
      </c>
      <c r="AN15" s="22">
        <f>extendable_generators!AN50</f>
        <v>345</v>
      </c>
      <c r="AO15" s="22">
        <f>extendable_generators!AO50</f>
        <v>345</v>
      </c>
      <c r="AP15" s="22">
        <f>extendable_generators!AP50</f>
        <v>345</v>
      </c>
      <c r="AQ15" s="22">
        <f>extendable_generators!AQ50</f>
        <v>345</v>
      </c>
      <c r="AR15" s="22">
        <f>extendable_generators!AR50</f>
        <v>345</v>
      </c>
      <c r="AS15" s="22">
        <f>extendable_generators!AS50</f>
        <v>345</v>
      </c>
    </row>
    <row r="16" spans="1:45" x14ac:dyDescent="0.2">
      <c r="A16" s="76" t="str">
        <f t="shared" ref="A16:A18" si="115">A15</f>
        <v>LOW</v>
      </c>
      <c r="B16" s="68" t="s">
        <v>55</v>
      </c>
      <c r="C16" s="4" t="s">
        <v>3</v>
      </c>
      <c r="J16" s="34">
        <f>0.74*J14</f>
        <v>27.928427577960285</v>
      </c>
      <c r="K16" s="34">
        <f t="shared" ref="K16:AS16" si="116">0.74*K14</f>
        <v>30.822512113036641</v>
      </c>
      <c r="L16" s="34">
        <f t="shared" si="116"/>
        <v>34.463068276396726</v>
      </c>
      <c r="M16" s="34">
        <f t="shared" si="116"/>
        <v>36.484393658946132</v>
      </c>
      <c r="N16" s="34">
        <f t="shared" si="116"/>
        <v>38.740918922054213</v>
      </c>
      <c r="O16" s="34">
        <f t="shared" si="116"/>
        <v>41.152010308571221</v>
      </c>
      <c r="P16" s="34">
        <f t="shared" si="116"/>
        <v>41.152010308571221</v>
      </c>
      <c r="Q16" s="34">
        <f t="shared" si="116"/>
        <v>41.152010308571221</v>
      </c>
      <c r="R16" s="34">
        <f t="shared" si="116"/>
        <v>41.152010308571221</v>
      </c>
      <c r="S16" s="34">
        <f t="shared" si="116"/>
        <v>41.152010308571221</v>
      </c>
      <c r="T16" s="34">
        <f t="shared" si="116"/>
        <v>41.152010308571221</v>
      </c>
      <c r="U16" s="34">
        <f t="shared" si="116"/>
        <v>41.152010308571221</v>
      </c>
      <c r="V16" s="34">
        <f t="shared" si="116"/>
        <v>41.152010308571221</v>
      </c>
      <c r="W16" s="34">
        <f t="shared" si="116"/>
        <v>41.152010308571221</v>
      </c>
      <c r="X16" s="34">
        <f t="shared" si="116"/>
        <v>41.152010308571221</v>
      </c>
      <c r="Y16" s="34">
        <f t="shared" si="116"/>
        <v>41.152010308571221</v>
      </c>
      <c r="Z16" s="34">
        <f t="shared" si="116"/>
        <v>41.152010308571221</v>
      </c>
      <c r="AA16" s="34">
        <f t="shared" si="116"/>
        <v>41.152010308571221</v>
      </c>
      <c r="AB16" s="34">
        <f t="shared" si="116"/>
        <v>41.152010308571221</v>
      </c>
      <c r="AC16" s="34">
        <f t="shared" si="116"/>
        <v>41.152010308571221</v>
      </c>
      <c r="AD16" s="34">
        <f t="shared" si="116"/>
        <v>41.152010308571221</v>
      </c>
      <c r="AE16" s="34">
        <f t="shared" si="116"/>
        <v>41.152010308571221</v>
      </c>
      <c r="AF16" s="34">
        <f t="shared" si="116"/>
        <v>41.152010308571221</v>
      </c>
      <c r="AG16" s="34">
        <f t="shared" si="116"/>
        <v>41.152010308571221</v>
      </c>
      <c r="AH16" s="34">
        <f t="shared" si="116"/>
        <v>41.152010308571221</v>
      </c>
      <c r="AI16" s="34">
        <f t="shared" si="116"/>
        <v>41.152010308571221</v>
      </c>
      <c r="AJ16" s="34">
        <f t="shared" si="116"/>
        <v>41.152010308571221</v>
      </c>
      <c r="AK16" s="34">
        <f t="shared" si="116"/>
        <v>41.152010308571221</v>
      </c>
      <c r="AL16" s="34">
        <f t="shared" si="116"/>
        <v>41.152010308571221</v>
      </c>
      <c r="AM16" s="34">
        <f t="shared" si="116"/>
        <v>41.152010308571221</v>
      </c>
      <c r="AN16" s="34">
        <f t="shared" si="116"/>
        <v>41.152010308571221</v>
      </c>
      <c r="AO16" s="34">
        <f t="shared" si="116"/>
        <v>41.152010308571221</v>
      </c>
      <c r="AP16" s="34">
        <f t="shared" si="116"/>
        <v>41.152010308571221</v>
      </c>
      <c r="AQ16" s="34">
        <f t="shared" si="116"/>
        <v>41.152010308571221</v>
      </c>
      <c r="AR16" s="34">
        <f t="shared" si="116"/>
        <v>41.152010308571221</v>
      </c>
      <c r="AS16" s="34">
        <f t="shared" si="116"/>
        <v>41.152010308571221</v>
      </c>
    </row>
    <row r="17" spans="1:45" x14ac:dyDescent="0.2">
      <c r="A17" s="76" t="str">
        <f t="shared" si="115"/>
        <v>LOW</v>
      </c>
      <c r="B17" s="67" t="s">
        <v>56</v>
      </c>
      <c r="C17" s="4" t="s">
        <v>3</v>
      </c>
      <c r="J17" s="34">
        <f>1.06*J14</f>
        <v>40.005585449510683</v>
      </c>
      <c r="K17" s="34">
        <f t="shared" ref="K17:AS17" si="117">1.06*K14</f>
        <v>44.151165999755193</v>
      </c>
      <c r="L17" s="34">
        <f t="shared" si="117"/>
        <v>49.366016720243962</v>
      </c>
      <c r="M17" s="34">
        <f t="shared" si="117"/>
        <v>52.261428754706628</v>
      </c>
      <c r="N17" s="34">
        <f t="shared" si="117"/>
        <v>55.493748726185771</v>
      </c>
      <c r="O17" s="34">
        <f t="shared" si="117"/>
        <v>58.947474225791211</v>
      </c>
      <c r="P17" s="34">
        <f t="shared" si="117"/>
        <v>58.947474225791211</v>
      </c>
      <c r="Q17" s="34">
        <f t="shared" si="117"/>
        <v>58.947474225791211</v>
      </c>
      <c r="R17" s="34">
        <f t="shared" si="117"/>
        <v>58.947474225791211</v>
      </c>
      <c r="S17" s="34">
        <f t="shared" si="117"/>
        <v>58.947474225791211</v>
      </c>
      <c r="T17" s="34">
        <f t="shared" si="117"/>
        <v>58.947474225791211</v>
      </c>
      <c r="U17" s="34">
        <f t="shared" si="117"/>
        <v>58.947474225791211</v>
      </c>
      <c r="V17" s="34">
        <f t="shared" si="117"/>
        <v>58.947474225791211</v>
      </c>
      <c r="W17" s="34">
        <f t="shared" si="117"/>
        <v>58.947474225791211</v>
      </c>
      <c r="X17" s="34">
        <f t="shared" si="117"/>
        <v>58.947474225791211</v>
      </c>
      <c r="Y17" s="34">
        <f t="shared" si="117"/>
        <v>58.947474225791211</v>
      </c>
      <c r="Z17" s="34">
        <f t="shared" si="117"/>
        <v>58.947474225791211</v>
      </c>
      <c r="AA17" s="34">
        <f t="shared" si="117"/>
        <v>58.947474225791211</v>
      </c>
      <c r="AB17" s="34">
        <f t="shared" si="117"/>
        <v>58.947474225791211</v>
      </c>
      <c r="AC17" s="34">
        <f t="shared" si="117"/>
        <v>58.947474225791211</v>
      </c>
      <c r="AD17" s="34">
        <f t="shared" si="117"/>
        <v>58.947474225791211</v>
      </c>
      <c r="AE17" s="34">
        <f t="shared" si="117"/>
        <v>58.947474225791211</v>
      </c>
      <c r="AF17" s="34">
        <f t="shared" si="117"/>
        <v>58.947474225791211</v>
      </c>
      <c r="AG17" s="34">
        <f t="shared" si="117"/>
        <v>58.947474225791211</v>
      </c>
      <c r="AH17" s="34">
        <f t="shared" si="117"/>
        <v>58.947474225791211</v>
      </c>
      <c r="AI17" s="34">
        <f t="shared" si="117"/>
        <v>58.947474225791211</v>
      </c>
      <c r="AJ17" s="34">
        <f t="shared" si="117"/>
        <v>58.947474225791211</v>
      </c>
      <c r="AK17" s="34">
        <f t="shared" si="117"/>
        <v>58.947474225791211</v>
      </c>
      <c r="AL17" s="34">
        <f t="shared" si="117"/>
        <v>58.947474225791211</v>
      </c>
      <c r="AM17" s="34">
        <f t="shared" si="117"/>
        <v>58.947474225791211</v>
      </c>
      <c r="AN17" s="34">
        <f t="shared" si="117"/>
        <v>58.947474225791211</v>
      </c>
      <c r="AO17" s="34">
        <f t="shared" si="117"/>
        <v>58.947474225791211</v>
      </c>
      <c r="AP17" s="34">
        <f t="shared" si="117"/>
        <v>58.947474225791211</v>
      </c>
      <c r="AQ17" s="34">
        <f t="shared" si="117"/>
        <v>58.947474225791211</v>
      </c>
      <c r="AR17" s="34">
        <f t="shared" si="117"/>
        <v>58.947474225791211</v>
      </c>
      <c r="AS17" s="34">
        <f t="shared" si="117"/>
        <v>58.947474225791211</v>
      </c>
    </row>
    <row r="18" spans="1:45" x14ac:dyDescent="0.2">
      <c r="A18" s="76" t="str">
        <f t="shared" si="115"/>
        <v>LOW</v>
      </c>
      <c r="B18" s="69" t="s">
        <v>57</v>
      </c>
      <c r="C18" s="56" t="s">
        <v>3</v>
      </c>
      <c r="J18" s="61">
        <f>1.28*J14</f>
        <v>48.308631486201577</v>
      </c>
      <c r="K18" s="61">
        <f t="shared" ref="K18:AS18" si="118">1.28*K14</f>
        <v>53.314615546874194</v>
      </c>
      <c r="L18" s="61">
        <f t="shared" si="118"/>
        <v>59.611793775388932</v>
      </c>
      <c r="M18" s="61">
        <f t="shared" si="118"/>
        <v>63.108140383041963</v>
      </c>
      <c r="N18" s="61">
        <f t="shared" si="118"/>
        <v>67.011319216526203</v>
      </c>
      <c r="O18" s="61">
        <f t="shared" si="118"/>
        <v>71.181855668879948</v>
      </c>
      <c r="P18" s="61">
        <f t="shared" si="118"/>
        <v>71.181855668879948</v>
      </c>
      <c r="Q18" s="61">
        <f t="shared" si="118"/>
        <v>71.181855668879948</v>
      </c>
      <c r="R18" s="61">
        <f t="shared" si="118"/>
        <v>71.181855668879948</v>
      </c>
      <c r="S18" s="61">
        <f t="shared" si="118"/>
        <v>71.181855668879948</v>
      </c>
      <c r="T18" s="61">
        <f t="shared" si="118"/>
        <v>71.181855668879948</v>
      </c>
      <c r="U18" s="61">
        <f t="shared" si="118"/>
        <v>71.181855668879948</v>
      </c>
      <c r="V18" s="61">
        <f t="shared" si="118"/>
        <v>71.181855668879948</v>
      </c>
      <c r="W18" s="61">
        <f t="shared" si="118"/>
        <v>71.181855668879948</v>
      </c>
      <c r="X18" s="61">
        <f t="shared" si="118"/>
        <v>71.181855668879948</v>
      </c>
      <c r="Y18" s="61">
        <f t="shared" si="118"/>
        <v>71.181855668879948</v>
      </c>
      <c r="Z18" s="61">
        <f t="shared" si="118"/>
        <v>71.181855668879948</v>
      </c>
      <c r="AA18" s="61">
        <f t="shared" si="118"/>
        <v>71.181855668879948</v>
      </c>
      <c r="AB18" s="61">
        <f t="shared" si="118"/>
        <v>71.181855668879948</v>
      </c>
      <c r="AC18" s="61">
        <f t="shared" si="118"/>
        <v>71.181855668879948</v>
      </c>
      <c r="AD18" s="61">
        <f t="shared" si="118"/>
        <v>71.181855668879948</v>
      </c>
      <c r="AE18" s="61">
        <f t="shared" si="118"/>
        <v>71.181855668879948</v>
      </c>
      <c r="AF18" s="61">
        <f t="shared" si="118"/>
        <v>71.181855668879948</v>
      </c>
      <c r="AG18" s="61">
        <f t="shared" si="118"/>
        <v>71.181855668879948</v>
      </c>
      <c r="AH18" s="61">
        <f t="shared" si="118"/>
        <v>71.181855668879948</v>
      </c>
      <c r="AI18" s="61">
        <f t="shared" si="118"/>
        <v>71.181855668879948</v>
      </c>
      <c r="AJ18" s="61">
        <f t="shared" si="118"/>
        <v>71.181855668879948</v>
      </c>
      <c r="AK18" s="61">
        <f t="shared" si="118"/>
        <v>71.181855668879948</v>
      </c>
      <c r="AL18" s="61">
        <f t="shared" si="118"/>
        <v>71.181855668879948</v>
      </c>
      <c r="AM18" s="61">
        <f t="shared" si="118"/>
        <v>71.181855668879948</v>
      </c>
      <c r="AN18" s="61">
        <f t="shared" si="118"/>
        <v>71.181855668879948</v>
      </c>
      <c r="AO18" s="61">
        <f t="shared" si="118"/>
        <v>71.181855668879948</v>
      </c>
      <c r="AP18" s="61">
        <f t="shared" si="118"/>
        <v>71.181855668879948</v>
      </c>
      <c r="AQ18" s="61">
        <f t="shared" si="118"/>
        <v>71.181855668879948</v>
      </c>
      <c r="AR18" s="61">
        <f t="shared" si="118"/>
        <v>71.181855668879948</v>
      </c>
      <c r="AS18" s="61">
        <f t="shared" si="118"/>
        <v>71.181855668879948</v>
      </c>
    </row>
    <row r="19" spans="1:45" x14ac:dyDescent="0.2">
      <c r="A19" s="63" t="s">
        <v>54</v>
      </c>
      <c r="B19" s="65" t="s">
        <v>38</v>
      </c>
      <c r="C19" s="4" t="s">
        <v>53</v>
      </c>
      <c r="J19" s="60">
        <v>1.28</v>
      </c>
    </row>
    <row r="20" spans="1:45" x14ac:dyDescent="0.2">
      <c r="A20" s="63" t="s">
        <v>54</v>
      </c>
      <c r="B20" s="65" t="s">
        <v>52</v>
      </c>
      <c r="C20" s="4" t="s">
        <v>53</v>
      </c>
      <c r="J20" s="60">
        <v>1.28</v>
      </c>
    </row>
    <row r="21" spans="1:45" x14ac:dyDescent="0.2">
      <c r="A21" s="63" t="s">
        <v>54</v>
      </c>
      <c r="B21" s="65" t="s">
        <v>50</v>
      </c>
      <c r="C21" s="4" t="s">
        <v>53</v>
      </c>
      <c r="J21" s="60">
        <v>1.28</v>
      </c>
      <c r="O21" s="62"/>
    </row>
    <row r="22" spans="1:45" x14ac:dyDescent="0.2">
      <c r="A22" s="63" t="s">
        <v>54</v>
      </c>
      <c r="B22" s="65" t="s">
        <v>46</v>
      </c>
      <c r="C22" s="4" t="s">
        <v>53</v>
      </c>
      <c r="J22" s="60">
        <v>1.28</v>
      </c>
      <c r="O22" s="62"/>
    </row>
    <row r="23" spans="1:45" x14ac:dyDescent="0.2">
      <c r="A23" s="63" t="s">
        <v>54</v>
      </c>
      <c r="B23" s="65" t="s">
        <v>42</v>
      </c>
      <c r="C23" s="4" t="s">
        <v>53</v>
      </c>
      <c r="J23" s="60">
        <v>1.28</v>
      </c>
      <c r="O23" s="62"/>
    </row>
    <row r="24" spans="1:45" x14ac:dyDescent="0.2">
      <c r="A24" s="63" t="s">
        <v>54</v>
      </c>
      <c r="B24" s="65" t="s">
        <v>40</v>
      </c>
      <c r="C24" s="4" t="s">
        <v>53</v>
      </c>
      <c r="J24" s="60">
        <v>1.28</v>
      </c>
      <c r="O24" s="62"/>
    </row>
    <row r="25" spans="1:45" x14ac:dyDescent="0.2">
      <c r="A25" s="63" t="s">
        <v>54</v>
      </c>
      <c r="B25" s="65" t="s">
        <v>45</v>
      </c>
      <c r="C25" s="4" t="s">
        <v>53</v>
      </c>
      <c r="J25" s="60">
        <v>1.28</v>
      </c>
      <c r="O25" s="62"/>
    </row>
    <row r="26" spans="1:45" x14ac:dyDescent="0.2">
      <c r="A26" s="63" t="s">
        <v>54</v>
      </c>
      <c r="B26" s="66" t="s">
        <v>43</v>
      </c>
      <c r="C26" s="4" t="s">
        <v>53</v>
      </c>
      <c r="J26" s="60">
        <v>1.06</v>
      </c>
      <c r="O26" s="62"/>
    </row>
    <row r="27" spans="1:45" x14ac:dyDescent="0.2">
      <c r="A27" s="63" t="s">
        <v>54</v>
      </c>
      <c r="B27" s="66" t="s">
        <v>48</v>
      </c>
      <c r="C27" s="4" t="s">
        <v>53</v>
      </c>
      <c r="J27" s="60">
        <v>1.06</v>
      </c>
      <c r="O27" s="62"/>
    </row>
    <row r="28" spans="1:45" x14ac:dyDescent="0.2">
      <c r="A28" s="63" t="s">
        <v>54</v>
      </c>
      <c r="B28" s="66" t="s">
        <v>39</v>
      </c>
      <c r="C28" s="4" t="s">
        <v>53</v>
      </c>
      <c r="J28" s="60">
        <v>1.06</v>
      </c>
      <c r="O28" s="62"/>
    </row>
    <row r="29" spans="1:45" x14ac:dyDescent="0.2">
      <c r="A29" s="63" t="s">
        <v>54</v>
      </c>
      <c r="B29" s="66" t="s">
        <v>44</v>
      </c>
      <c r="C29" s="4" t="s">
        <v>53</v>
      </c>
      <c r="J29" s="60">
        <v>1.06</v>
      </c>
      <c r="O29" s="62"/>
    </row>
    <row r="30" spans="1:45" x14ac:dyDescent="0.2">
      <c r="A30" s="63" t="s">
        <v>54</v>
      </c>
      <c r="B30" s="64" t="s">
        <v>51</v>
      </c>
      <c r="C30" s="4" t="s">
        <v>53</v>
      </c>
      <c r="J30" s="60">
        <v>0.74</v>
      </c>
      <c r="O30" s="62"/>
    </row>
    <row r="31" spans="1:45" x14ac:dyDescent="0.2">
      <c r="A31" s="63" t="s">
        <v>54</v>
      </c>
      <c r="B31" s="64" t="s">
        <v>41</v>
      </c>
      <c r="C31" s="4" t="s">
        <v>53</v>
      </c>
      <c r="J31" s="60">
        <v>0.74</v>
      </c>
      <c r="O31" s="62"/>
    </row>
    <row r="32" spans="1:45" x14ac:dyDescent="0.2">
      <c r="A32" s="63" t="s">
        <v>54</v>
      </c>
      <c r="B32" s="64" t="s">
        <v>49</v>
      </c>
      <c r="C32" s="4" t="s">
        <v>53</v>
      </c>
      <c r="J32" s="60">
        <v>0.74</v>
      </c>
      <c r="O32" s="62"/>
    </row>
    <row r="33" spans="1:15" x14ac:dyDescent="0.2">
      <c r="A33" s="63" t="s">
        <v>54</v>
      </c>
      <c r="B33" s="64" t="s">
        <v>47</v>
      </c>
      <c r="C33" s="4" t="s">
        <v>53</v>
      </c>
      <c r="J33" s="60">
        <v>0.74</v>
      </c>
      <c r="O33" s="62"/>
    </row>
  </sheetData>
  <autoFilter ref="A1:C1" xr:uid="{00000000-0001-0000-0000-000000000000}"/>
  <phoneticPr fontId="7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3"/>
  <sheetViews>
    <sheetView zoomScaleNormal="100" workbookViewId="0">
      <pane ySplit="1" topLeftCell="A17" activePane="bottomLeft" state="frozen"/>
      <selection activeCell="L1" sqref="L1"/>
      <selection pane="bottomLeft" activeCell="A51" sqref="A51"/>
    </sheetView>
  </sheetViews>
  <sheetFormatPr baseColWidth="10" defaultColWidth="8.5" defaultRowHeight="15" x14ac:dyDescent="0.2"/>
  <cols>
    <col min="1" max="1" width="17.5" customWidth="1"/>
    <col min="2" max="2" width="19.6640625" customWidth="1"/>
    <col min="3" max="3" width="16" customWidth="1"/>
    <col min="4" max="9" width="10.1640625" hidden="1" customWidth="1"/>
    <col min="10" max="17" width="9.33203125" style="11" customWidth="1"/>
    <col min="18" max="18" width="8.33203125" style="11" customWidth="1"/>
    <col min="19" max="35" width="9.33203125" style="11" customWidth="1"/>
    <col min="36" max="36" width="8.5" style="11"/>
    <col min="37" max="45" width="9.33203125" style="11" customWidth="1"/>
  </cols>
  <sheetData>
    <row r="1" spans="1:45" ht="16" x14ac:dyDescent="0.2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S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2">
        <f t="shared" si="0"/>
        <v>2025</v>
      </c>
      <c r="K1" s="12">
        <f t="shared" si="0"/>
        <v>2026</v>
      </c>
      <c r="L1" s="12">
        <f t="shared" si="0"/>
        <v>2027</v>
      </c>
      <c r="M1" s="12">
        <f t="shared" si="0"/>
        <v>2028</v>
      </c>
      <c r="N1" s="12">
        <f t="shared" si="0"/>
        <v>2029</v>
      </c>
      <c r="O1" s="12">
        <f t="shared" si="0"/>
        <v>2030</v>
      </c>
      <c r="P1" s="12">
        <f t="shared" si="0"/>
        <v>2031</v>
      </c>
      <c r="Q1" s="12">
        <f t="shared" si="0"/>
        <v>2032</v>
      </c>
      <c r="R1" s="12">
        <f t="shared" si="0"/>
        <v>2033</v>
      </c>
      <c r="S1" s="12">
        <f t="shared" si="0"/>
        <v>2034</v>
      </c>
      <c r="T1" s="12">
        <f t="shared" si="0"/>
        <v>2035</v>
      </c>
      <c r="U1" s="12">
        <f t="shared" si="0"/>
        <v>2036</v>
      </c>
      <c r="V1" s="12">
        <f t="shared" si="0"/>
        <v>2037</v>
      </c>
      <c r="W1" s="12">
        <f t="shared" si="0"/>
        <v>2038</v>
      </c>
      <c r="X1" s="12">
        <f t="shared" si="0"/>
        <v>2039</v>
      </c>
      <c r="Y1" s="12">
        <f t="shared" si="0"/>
        <v>2040</v>
      </c>
      <c r="Z1" s="12">
        <f t="shared" si="0"/>
        <v>2041</v>
      </c>
      <c r="AA1" s="12">
        <f t="shared" si="0"/>
        <v>2042</v>
      </c>
      <c r="AB1" s="12">
        <f t="shared" si="0"/>
        <v>2043</v>
      </c>
      <c r="AC1" s="12">
        <f t="shared" si="0"/>
        <v>2044</v>
      </c>
      <c r="AD1" s="12">
        <f t="shared" si="0"/>
        <v>2045</v>
      </c>
      <c r="AE1" s="12">
        <f t="shared" si="0"/>
        <v>2046</v>
      </c>
      <c r="AF1" s="12">
        <f t="shared" si="0"/>
        <v>2047</v>
      </c>
      <c r="AG1" s="12">
        <f t="shared" si="0"/>
        <v>2048</v>
      </c>
      <c r="AH1" s="12">
        <f t="shared" si="0"/>
        <v>2049</v>
      </c>
      <c r="AI1" s="12">
        <f t="shared" si="0"/>
        <v>2050</v>
      </c>
      <c r="AJ1" s="13">
        <f t="shared" si="0"/>
        <v>2051</v>
      </c>
      <c r="AK1" s="13">
        <f t="shared" si="0"/>
        <v>2052</v>
      </c>
      <c r="AL1" s="13">
        <f t="shared" si="0"/>
        <v>2053</v>
      </c>
      <c r="AM1" s="13">
        <f t="shared" si="0"/>
        <v>2054</v>
      </c>
      <c r="AN1" s="13">
        <f t="shared" si="0"/>
        <v>2055</v>
      </c>
      <c r="AO1" s="13">
        <f t="shared" si="0"/>
        <v>2056</v>
      </c>
      <c r="AP1" s="13">
        <f t="shared" si="0"/>
        <v>2057</v>
      </c>
      <c r="AQ1" s="13">
        <f t="shared" si="0"/>
        <v>2058</v>
      </c>
      <c r="AR1" s="13">
        <f t="shared" si="0"/>
        <v>2059</v>
      </c>
      <c r="AS1" s="13">
        <f t="shared" si="0"/>
        <v>2060</v>
      </c>
    </row>
    <row r="2" spans="1:45" x14ac:dyDescent="0.2">
      <c r="A2" s="10" t="s">
        <v>4</v>
      </c>
      <c r="B2" s="45" t="s">
        <v>5</v>
      </c>
      <c r="C2" s="45" t="s">
        <v>6</v>
      </c>
      <c r="D2" s="3">
        <v>400.69668080000002</v>
      </c>
      <c r="E2" s="3">
        <v>402.46947069999999</v>
      </c>
      <c r="F2" s="3">
        <v>402.49143750000002</v>
      </c>
      <c r="G2" s="3">
        <v>405.597127</v>
      </c>
      <c r="H2" s="3">
        <v>406.51069790000003</v>
      </c>
      <c r="I2" s="3">
        <v>408.73353279999998</v>
      </c>
      <c r="J2" s="52">
        <v>560</v>
      </c>
      <c r="K2" s="52">
        <v>560</v>
      </c>
      <c r="L2" s="52">
        <v>560</v>
      </c>
      <c r="M2" s="52">
        <v>560</v>
      </c>
      <c r="N2" s="52">
        <v>560</v>
      </c>
      <c r="O2" s="52">
        <v>560</v>
      </c>
      <c r="P2" s="52">
        <v>560</v>
      </c>
      <c r="Q2" s="52">
        <v>560</v>
      </c>
      <c r="R2" s="52">
        <v>560</v>
      </c>
      <c r="S2" s="52">
        <v>560</v>
      </c>
      <c r="T2" s="52">
        <v>560</v>
      </c>
      <c r="U2" s="52">
        <v>560</v>
      </c>
      <c r="V2" s="52">
        <v>560</v>
      </c>
      <c r="W2" s="52">
        <v>560</v>
      </c>
      <c r="X2" s="52">
        <v>560</v>
      </c>
      <c r="Y2" s="52">
        <v>560</v>
      </c>
      <c r="Z2" s="52">
        <v>560</v>
      </c>
      <c r="AA2" s="52">
        <v>560</v>
      </c>
      <c r="AB2" s="52">
        <v>560</v>
      </c>
      <c r="AC2" s="52">
        <v>560</v>
      </c>
      <c r="AD2" s="52">
        <v>560</v>
      </c>
      <c r="AE2" s="52">
        <v>560</v>
      </c>
      <c r="AF2" s="52">
        <v>560</v>
      </c>
      <c r="AG2" s="52">
        <v>560</v>
      </c>
      <c r="AH2" s="52">
        <v>560</v>
      </c>
      <c r="AI2" s="52">
        <v>560</v>
      </c>
      <c r="AJ2" s="52">
        <v>560</v>
      </c>
      <c r="AK2" s="52">
        <v>560</v>
      </c>
      <c r="AL2" s="52">
        <v>560</v>
      </c>
      <c r="AM2" s="52">
        <v>560</v>
      </c>
      <c r="AN2" s="52">
        <v>560</v>
      </c>
      <c r="AO2" s="52">
        <v>560</v>
      </c>
      <c r="AP2" s="52">
        <v>560</v>
      </c>
      <c r="AQ2" s="52">
        <v>560</v>
      </c>
      <c r="AR2" s="52">
        <v>560</v>
      </c>
      <c r="AS2" s="52">
        <v>560</v>
      </c>
    </row>
    <row r="3" spans="1:45" x14ac:dyDescent="0.2">
      <c r="A3" s="10" t="str">
        <f t="shared" ref="A3:A13" si="1">A2</f>
        <v>IRP23</v>
      </c>
      <c r="B3" s="44" t="s">
        <v>7</v>
      </c>
      <c r="C3" s="44" t="s">
        <v>6</v>
      </c>
      <c r="D3" s="7">
        <v>400.69668080000002</v>
      </c>
      <c r="E3" s="7">
        <v>402.46947069999999</v>
      </c>
      <c r="F3" s="7">
        <v>402.49143750000002</v>
      </c>
      <c r="G3" s="7">
        <v>405.597127</v>
      </c>
      <c r="H3" s="7">
        <v>406.51069790000003</v>
      </c>
      <c r="I3" s="7">
        <v>408.73353279999998</v>
      </c>
      <c r="J3" s="53">
        <v>560</v>
      </c>
      <c r="K3" s="53">
        <v>560</v>
      </c>
      <c r="L3" s="53">
        <v>560</v>
      </c>
      <c r="M3" s="53">
        <v>560</v>
      </c>
      <c r="N3" s="53">
        <v>560</v>
      </c>
      <c r="O3" s="53">
        <v>560</v>
      </c>
      <c r="P3" s="53">
        <v>560</v>
      </c>
      <c r="Q3" s="53">
        <v>560</v>
      </c>
      <c r="R3" s="53">
        <v>560</v>
      </c>
      <c r="S3" s="53">
        <v>560</v>
      </c>
      <c r="T3" s="53">
        <v>560</v>
      </c>
      <c r="U3" s="53">
        <v>560</v>
      </c>
      <c r="V3" s="53">
        <v>560</v>
      </c>
      <c r="W3" s="53">
        <v>560</v>
      </c>
      <c r="X3" s="53">
        <v>560</v>
      </c>
      <c r="Y3" s="53">
        <v>560</v>
      </c>
      <c r="Z3" s="53">
        <v>560</v>
      </c>
      <c r="AA3" s="53">
        <v>560</v>
      </c>
      <c r="AB3" s="53">
        <v>560</v>
      </c>
      <c r="AC3" s="53">
        <v>560</v>
      </c>
      <c r="AD3" s="53">
        <v>560</v>
      </c>
      <c r="AE3" s="53">
        <v>560</v>
      </c>
      <c r="AF3" s="53">
        <v>560</v>
      </c>
      <c r="AG3" s="53">
        <v>560</v>
      </c>
      <c r="AH3" s="53">
        <v>560</v>
      </c>
      <c r="AI3" s="53">
        <v>560</v>
      </c>
      <c r="AJ3" s="53">
        <v>560</v>
      </c>
      <c r="AK3" s="53">
        <v>560</v>
      </c>
      <c r="AL3" s="53">
        <v>560</v>
      </c>
      <c r="AM3" s="53">
        <v>560</v>
      </c>
      <c r="AN3" s="53">
        <v>560</v>
      </c>
      <c r="AO3" s="53">
        <v>560</v>
      </c>
      <c r="AP3" s="53">
        <v>560</v>
      </c>
      <c r="AQ3" s="53">
        <v>560</v>
      </c>
      <c r="AR3" s="53">
        <v>560</v>
      </c>
      <c r="AS3" s="53">
        <v>560</v>
      </c>
    </row>
    <row r="4" spans="1:45" x14ac:dyDescent="0.2">
      <c r="A4" s="10" t="str">
        <f t="shared" si="1"/>
        <v>IRP23</v>
      </c>
      <c r="B4" s="45" t="s">
        <v>8</v>
      </c>
      <c r="C4" s="45" t="s">
        <v>6</v>
      </c>
      <c r="D4" s="3">
        <v>272</v>
      </c>
      <c r="E4" s="3">
        <v>272</v>
      </c>
      <c r="F4" s="3">
        <v>272</v>
      </c>
      <c r="G4" s="3">
        <v>272</v>
      </c>
      <c r="H4" s="3">
        <v>272</v>
      </c>
      <c r="I4" s="3">
        <v>272</v>
      </c>
      <c r="J4" s="47">
        <v>280</v>
      </c>
      <c r="K4" s="47">
        <v>280</v>
      </c>
      <c r="L4" s="47">
        <v>280</v>
      </c>
      <c r="M4" s="47">
        <v>280</v>
      </c>
      <c r="N4" s="47">
        <v>280</v>
      </c>
      <c r="O4" s="47">
        <v>280</v>
      </c>
      <c r="P4" s="47">
        <v>280</v>
      </c>
      <c r="Q4" s="47">
        <v>280</v>
      </c>
      <c r="R4" s="47">
        <v>280</v>
      </c>
      <c r="S4" s="47">
        <v>280</v>
      </c>
      <c r="T4" s="47">
        <v>280</v>
      </c>
      <c r="U4" s="47">
        <v>280</v>
      </c>
      <c r="V4" s="47">
        <v>280</v>
      </c>
      <c r="W4" s="47">
        <v>280</v>
      </c>
      <c r="X4" s="47">
        <v>280</v>
      </c>
      <c r="Y4" s="47">
        <v>280</v>
      </c>
      <c r="Z4" s="47">
        <v>280</v>
      </c>
      <c r="AA4" s="47">
        <v>280</v>
      </c>
      <c r="AB4" s="47">
        <v>280</v>
      </c>
      <c r="AC4" s="47">
        <v>280</v>
      </c>
      <c r="AD4" s="47">
        <v>280</v>
      </c>
      <c r="AE4" s="47">
        <v>280</v>
      </c>
      <c r="AF4" s="47">
        <v>280</v>
      </c>
      <c r="AG4" s="47">
        <v>280</v>
      </c>
      <c r="AH4" s="47">
        <v>280</v>
      </c>
      <c r="AI4" s="47">
        <v>280</v>
      </c>
      <c r="AJ4" s="47">
        <v>280</v>
      </c>
      <c r="AK4" s="47">
        <v>280</v>
      </c>
      <c r="AL4" s="47">
        <v>280</v>
      </c>
      <c r="AM4" s="47">
        <v>280</v>
      </c>
      <c r="AN4" s="47">
        <v>280</v>
      </c>
      <c r="AO4" s="47">
        <v>280</v>
      </c>
      <c r="AP4" s="47">
        <v>280</v>
      </c>
      <c r="AQ4" s="47">
        <v>280</v>
      </c>
      <c r="AR4" s="47">
        <v>280</v>
      </c>
      <c r="AS4" s="47">
        <v>280</v>
      </c>
    </row>
    <row r="5" spans="1:45" x14ac:dyDescent="0.2">
      <c r="A5" s="10" t="str">
        <f t="shared" si="1"/>
        <v>IRP23</v>
      </c>
      <c r="B5" s="44" t="s">
        <v>9</v>
      </c>
      <c r="C5" s="44" t="s">
        <v>6</v>
      </c>
      <c r="D5" s="7">
        <v>272</v>
      </c>
      <c r="E5" s="7">
        <v>272</v>
      </c>
      <c r="F5" s="7">
        <v>272</v>
      </c>
      <c r="G5" s="7">
        <v>272</v>
      </c>
      <c r="H5" s="7">
        <v>272</v>
      </c>
      <c r="I5" s="7">
        <v>272</v>
      </c>
      <c r="J5" s="14">
        <f t="shared" ref="J5:X5" si="2">J4</f>
        <v>280</v>
      </c>
      <c r="K5" s="14">
        <f t="shared" si="2"/>
        <v>280</v>
      </c>
      <c r="L5" s="14">
        <f t="shared" si="2"/>
        <v>280</v>
      </c>
      <c r="M5" s="14">
        <f t="shared" si="2"/>
        <v>280</v>
      </c>
      <c r="N5" s="14">
        <f t="shared" si="2"/>
        <v>280</v>
      </c>
      <c r="O5" s="14">
        <f t="shared" si="2"/>
        <v>280</v>
      </c>
      <c r="P5" s="14">
        <f t="shared" si="2"/>
        <v>280</v>
      </c>
      <c r="Q5" s="14">
        <f t="shared" si="2"/>
        <v>280</v>
      </c>
      <c r="R5" s="14">
        <f t="shared" si="2"/>
        <v>280</v>
      </c>
      <c r="S5" s="14">
        <f t="shared" si="2"/>
        <v>280</v>
      </c>
      <c r="T5" s="14">
        <f t="shared" si="2"/>
        <v>280</v>
      </c>
      <c r="U5" s="14">
        <f t="shared" si="2"/>
        <v>280</v>
      </c>
      <c r="V5" s="14">
        <f t="shared" si="2"/>
        <v>280</v>
      </c>
      <c r="W5" s="14">
        <f t="shared" si="2"/>
        <v>280</v>
      </c>
      <c r="X5" s="14">
        <f t="shared" si="2"/>
        <v>280</v>
      </c>
      <c r="Y5" s="53">
        <f t="shared" ref="Y5:AS5" si="3">Y2</f>
        <v>560</v>
      </c>
      <c r="Z5" s="53">
        <f t="shared" si="3"/>
        <v>560</v>
      </c>
      <c r="AA5" s="53">
        <f t="shared" si="3"/>
        <v>560</v>
      </c>
      <c r="AB5" s="53">
        <f t="shared" si="3"/>
        <v>560</v>
      </c>
      <c r="AC5" s="53">
        <f t="shared" si="3"/>
        <v>560</v>
      </c>
      <c r="AD5" s="53">
        <f t="shared" si="3"/>
        <v>560</v>
      </c>
      <c r="AE5" s="53">
        <f t="shared" si="3"/>
        <v>560</v>
      </c>
      <c r="AF5" s="53">
        <f t="shared" si="3"/>
        <v>560</v>
      </c>
      <c r="AG5" s="53">
        <f t="shared" si="3"/>
        <v>560</v>
      </c>
      <c r="AH5" s="53">
        <f t="shared" si="3"/>
        <v>560</v>
      </c>
      <c r="AI5" s="53">
        <f t="shared" si="3"/>
        <v>560</v>
      </c>
      <c r="AJ5" s="53">
        <f t="shared" si="3"/>
        <v>560</v>
      </c>
      <c r="AK5" s="53">
        <f t="shared" si="3"/>
        <v>560</v>
      </c>
      <c r="AL5" s="53">
        <f t="shared" si="3"/>
        <v>560</v>
      </c>
      <c r="AM5" s="53">
        <f t="shared" si="3"/>
        <v>560</v>
      </c>
      <c r="AN5" s="53">
        <f t="shared" si="3"/>
        <v>560</v>
      </c>
      <c r="AO5" s="53">
        <f t="shared" si="3"/>
        <v>560</v>
      </c>
      <c r="AP5" s="53">
        <f t="shared" si="3"/>
        <v>560</v>
      </c>
      <c r="AQ5" s="53">
        <f t="shared" si="3"/>
        <v>560</v>
      </c>
      <c r="AR5" s="53">
        <f t="shared" si="3"/>
        <v>560</v>
      </c>
      <c r="AS5" s="53">
        <f t="shared" si="3"/>
        <v>560</v>
      </c>
    </row>
    <row r="6" spans="1:45" x14ac:dyDescent="0.2">
      <c r="A6" s="10" t="str">
        <f t="shared" si="1"/>
        <v>IRP23</v>
      </c>
      <c r="B6" s="45" t="s">
        <v>10</v>
      </c>
      <c r="C6" s="45" t="s">
        <v>6</v>
      </c>
      <c r="D6" s="3">
        <v>272</v>
      </c>
      <c r="E6" s="3">
        <v>272</v>
      </c>
      <c r="F6" s="3">
        <v>272</v>
      </c>
      <c r="G6" s="3">
        <v>272</v>
      </c>
      <c r="H6" s="3">
        <v>272</v>
      </c>
      <c r="I6" s="3">
        <v>272</v>
      </c>
      <c r="J6" s="47">
        <f t="shared" ref="J6:AC6" si="4">J4</f>
        <v>280</v>
      </c>
      <c r="K6" s="47">
        <f t="shared" si="4"/>
        <v>280</v>
      </c>
      <c r="L6" s="47">
        <f t="shared" si="4"/>
        <v>280</v>
      </c>
      <c r="M6" s="47">
        <f t="shared" si="4"/>
        <v>280</v>
      </c>
      <c r="N6" s="47">
        <f t="shared" si="4"/>
        <v>280</v>
      </c>
      <c r="O6" s="47">
        <f t="shared" si="4"/>
        <v>280</v>
      </c>
      <c r="P6" s="47">
        <f t="shared" si="4"/>
        <v>280</v>
      </c>
      <c r="Q6" s="47">
        <f t="shared" si="4"/>
        <v>280</v>
      </c>
      <c r="R6" s="47">
        <f t="shared" si="4"/>
        <v>280</v>
      </c>
      <c r="S6" s="47">
        <f t="shared" si="4"/>
        <v>280</v>
      </c>
      <c r="T6" s="47">
        <f t="shared" si="4"/>
        <v>280</v>
      </c>
      <c r="U6" s="47">
        <f t="shared" si="4"/>
        <v>280</v>
      </c>
      <c r="V6" s="47">
        <f t="shared" si="4"/>
        <v>280</v>
      </c>
      <c r="W6" s="47">
        <f t="shared" si="4"/>
        <v>280</v>
      </c>
      <c r="X6" s="47">
        <f t="shared" si="4"/>
        <v>280</v>
      </c>
      <c r="Y6" s="47">
        <f t="shared" si="4"/>
        <v>280</v>
      </c>
      <c r="Z6" s="47">
        <f t="shared" si="4"/>
        <v>280</v>
      </c>
      <c r="AA6" s="47">
        <f t="shared" si="4"/>
        <v>280</v>
      </c>
      <c r="AB6" s="47">
        <f t="shared" si="4"/>
        <v>280</v>
      </c>
      <c r="AC6" s="47">
        <f t="shared" si="4"/>
        <v>280</v>
      </c>
      <c r="AD6" s="52">
        <f t="shared" ref="AD6:AS6" si="5">AD2</f>
        <v>560</v>
      </c>
      <c r="AE6" s="52">
        <f t="shared" si="5"/>
        <v>560</v>
      </c>
      <c r="AF6" s="52">
        <f t="shared" si="5"/>
        <v>560</v>
      </c>
      <c r="AG6" s="52">
        <f t="shared" si="5"/>
        <v>560</v>
      </c>
      <c r="AH6" s="52">
        <f t="shared" si="5"/>
        <v>560</v>
      </c>
      <c r="AI6" s="52">
        <f t="shared" si="5"/>
        <v>560</v>
      </c>
      <c r="AJ6" s="52">
        <f t="shared" si="5"/>
        <v>560</v>
      </c>
      <c r="AK6" s="52">
        <f t="shared" si="5"/>
        <v>560</v>
      </c>
      <c r="AL6" s="52">
        <f t="shared" si="5"/>
        <v>560</v>
      </c>
      <c r="AM6" s="52">
        <f t="shared" si="5"/>
        <v>560</v>
      </c>
      <c r="AN6" s="52">
        <f t="shared" si="5"/>
        <v>560</v>
      </c>
      <c r="AO6" s="52">
        <f t="shared" si="5"/>
        <v>560</v>
      </c>
      <c r="AP6" s="52">
        <f t="shared" si="5"/>
        <v>560</v>
      </c>
      <c r="AQ6" s="52">
        <f t="shared" si="5"/>
        <v>560</v>
      </c>
      <c r="AR6" s="52">
        <f t="shared" si="5"/>
        <v>560</v>
      </c>
      <c r="AS6" s="52">
        <f t="shared" si="5"/>
        <v>560</v>
      </c>
    </row>
    <row r="7" spans="1:45" x14ac:dyDescent="0.2">
      <c r="A7" s="10" t="str">
        <f t="shared" si="1"/>
        <v>IRP23</v>
      </c>
      <c r="B7" s="44" t="s">
        <v>11</v>
      </c>
      <c r="C7" s="44" t="s">
        <v>6</v>
      </c>
      <c r="D7" s="7">
        <v>272</v>
      </c>
      <c r="E7" s="7">
        <v>272</v>
      </c>
      <c r="F7" s="7">
        <v>272</v>
      </c>
      <c r="G7" s="7">
        <v>272</v>
      </c>
      <c r="H7" s="7">
        <v>272</v>
      </c>
      <c r="I7" s="7">
        <v>272</v>
      </c>
      <c r="J7" s="48">
        <f t="shared" ref="J7:AH7" si="6">J4</f>
        <v>280</v>
      </c>
      <c r="K7" s="48">
        <f t="shared" si="6"/>
        <v>280</v>
      </c>
      <c r="L7" s="48">
        <f t="shared" si="6"/>
        <v>280</v>
      </c>
      <c r="M7" s="48">
        <f t="shared" si="6"/>
        <v>280</v>
      </c>
      <c r="N7" s="48">
        <f t="shared" si="6"/>
        <v>280</v>
      </c>
      <c r="O7" s="48">
        <f t="shared" si="6"/>
        <v>280</v>
      </c>
      <c r="P7" s="48">
        <f t="shared" si="6"/>
        <v>280</v>
      </c>
      <c r="Q7" s="48">
        <f t="shared" si="6"/>
        <v>280</v>
      </c>
      <c r="R7" s="48">
        <f t="shared" si="6"/>
        <v>280</v>
      </c>
      <c r="S7" s="48">
        <f t="shared" si="6"/>
        <v>280</v>
      </c>
      <c r="T7" s="48">
        <f t="shared" si="6"/>
        <v>280</v>
      </c>
      <c r="U7" s="48">
        <f t="shared" si="6"/>
        <v>280</v>
      </c>
      <c r="V7" s="48">
        <f t="shared" si="6"/>
        <v>280</v>
      </c>
      <c r="W7" s="48">
        <f t="shared" si="6"/>
        <v>280</v>
      </c>
      <c r="X7" s="48">
        <f t="shared" si="6"/>
        <v>280</v>
      </c>
      <c r="Y7" s="48">
        <f t="shared" si="6"/>
        <v>280</v>
      </c>
      <c r="Z7" s="48">
        <f t="shared" si="6"/>
        <v>280</v>
      </c>
      <c r="AA7" s="48">
        <f t="shared" si="6"/>
        <v>280</v>
      </c>
      <c r="AB7" s="48">
        <f t="shared" si="6"/>
        <v>280</v>
      </c>
      <c r="AC7" s="48">
        <f t="shared" si="6"/>
        <v>280</v>
      </c>
      <c r="AD7" s="14">
        <f t="shared" si="6"/>
        <v>280</v>
      </c>
      <c r="AE7" s="14">
        <f t="shared" si="6"/>
        <v>280</v>
      </c>
      <c r="AF7" s="14">
        <f t="shared" si="6"/>
        <v>280</v>
      </c>
      <c r="AG7" s="14">
        <f t="shared" si="6"/>
        <v>280</v>
      </c>
      <c r="AH7" s="14">
        <f t="shared" si="6"/>
        <v>280</v>
      </c>
      <c r="AI7" s="53">
        <f t="shared" ref="AI7:AS7" si="7">AI2</f>
        <v>560</v>
      </c>
      <c r="AJ7" s="53">
        <f t="shared" si="7"/>
        <v>560</v>
      </c>
      <c r="AK7" s="53">
        <f t="shared" si="7"/>
        <v>560</v>
      </c>
      <c r="AL7" s="53">
        <f t="shared" si="7"/>
        <v>560</v>
      </c>
      <c r="AM7" s="53">
        <f t="shared" si="7"/>
        <v>560</v>
      </c>
      <c r="AN7" s="53">
        <f t="shared" si="7"/>
        <v>560</v>
      </c>
      <c r="AO7" s="53">
        <f t="shared" si="7"/>
        <v>560</v>
      </c>
      <c r="AP7" s="53">
        <f t="shared" si="7"/>
        <v>560</v>
      </c>
      <c r="AQ7" s="53">
        <f t="shared" si="7"/>
        <v>560</v>
      </c>
      <c r="AR7" s="53">
        <f t="shared" si="7"/>
        <v>560</v>
      </c>
      <c r="AS7" s="53">
        <f t="shared" si="7"/>
        <v>560</v>
      </c>
    </row>
    <row r="8" spans="1:45" x14ac:dyDescent="0.2">
      <c r="A8" s="10" t="str">
        <f t="shared" si="1"/>
        <v>IRP23</v>
      </c>
      <c r="B8" s="45" t="s">
        <v>12</v>
      </c>
      <c r="C8" s="45" t="s">
        <v>6</v>
      </c>
      <c r="D8" s="3">
        <v>272</v>
      </c>
      <c r="E8" s="3">
        <v>272</v>
      </c>
      <c r="F8" s="3">
        <v>272</v>
      </c>
      <c r="G8" s="3">
        <v>272</v>
      </c>
      <c r="H8" s="3">
        <v>272</v>
      </c>
      <c r="I8" s="3">
        <v>272</v>
      </c>
      <c r="J8" s="47">
        <f t="shared" ref="J8:AC8" si="8">J6</f>
        <v>280</v>
      </c>
      <c r="K8" s="47">
        <f t="shared" si="8"/>
        <v>280</v>
      </c>
      <c r="L8" s="47">
        <f t="shared" si="8"/>
        <v>280</v>
      </c>
      <c r="M8" s="47">
        <f t="shared" si="8"/>
        <v>280</v>
      </c>
      <c r="N8" s="47">
        <f t="shared" si="8"/>
        <v>280</v>
      </c>
      <c r="O8" s="47">
        <f t="shared" si="8"/>
        <v>280</v>
      </c>
      <c r="P8" s="47">
        <f t="shared" si="8"/>
        <v>280</v>
      </c>
      <c r="Q8" s="47">
        <f t="shared" si="8"/>
        <v>280</v>
      </c>
      <c r="R8" s="47">
        <f t="shared" si="8"/>
        <v>280</v>
      </c>
      <c r="S8" s="47">
        <f t="shared" si="8"/>
        <v>280</v>
      </c>
      <c r="T8" s="47">
        <f t="shared" si="8"/>
        <v>280</v>
      </c>
      <c r="U8" s="47">
        <f t="shared" si="8"/>
        <v>280</v>
      </c>
      <c r="V8" s="47">
        <f t="shared" si="8"/>
        <v>280</v>
      </c>
      <c r="W8" s="47">
        <f t="shared" si="8"/>
        <v>280</v>
      </c>
      <c r="X8" s="47">
        <f t="shared" si="8"/>
        <v>280</v>
      </c>
      <c r="Y8" s="47">
        <f t="shared" si="8"/>
        <v>280</v>
      </c>
      <c r="Z8" s="47">
        <f t="shared" si="8"/>
        <v>280</v>
      </c>
      <c r="AA8" s="47">
        <f t="shared" si="8"/>
        <v>280</v>
      </c>
      <c r="AB8" s="47">
        <f t="shared" si="8"/>
        <v>280</v>
      </c>
      <c r="AC8" s="47">
        <f t="shared" si="8"/>
        <v>280</v>
      </c>
      <c r="AD8" s="47">
        <f t="shared" ref="AD8:AS8" si="9">AD4</f>
        <v>280</v>
      </c>
      <c r="AE8" s="47">
        <f t="shared" si="9"/>
        <v>280</v>
      </c>
      <c r="AF8" s="47">
        <f t="shared" si="9"/>
        <v>280</v>
      </c>
      <c r="AG8" s="47">
        <f t="shared" si="9"/>
        <v>280</v>
      </c>
      <c r="AH8" s="47">
        <f t="shared" si="9"/>
        <v>280</v>
      </c>
      <c r="AI8" s="47">
        <f t="shared" si="9"/>
        <v>280</v>
      </c>
      <c r="AJ8" s="47">
        <f t="shared" si="9"/>
        <v>280</v>
      </c>
      <c r="AK8" s="47">
        <f t="shared" si="9"/>
        <v>280</v>
      </c>
      <c r="AL8" s="47">
        <f t="shared" si="9"/>
        <v>280</v>
      </c>
      <c r="AM8" s="47">
        <f t="shared" si="9"/>
        <v>280</v>
      </c>
      <c r="AN8" s="52">
        <f t="shared" si="9"/>
        <v>280</v>
      </c>
      <c r="AO8" s="52">
        <f t="shared" si="9"/>
        <v>280</v>
      </c>
      <c r="AP8" s="52">
        <f t="shared" si="9"/>
        <v>280</v>
      </c>
      <c r="AQ8" s="52">
        <f t="shared" si="9"/>
        <v>280</v>
      </c>
      <c r="AR8" s="52">
        <f t="shared" si="9"/>
        <v>280</v>
      </c>
      <c r="AS8" s="52">
        <f t="shared" si="9"/>
        <v>280</v>
      </c>
    </row>
    <row r="9" spans="1:45" x14ac:dyDescent="0.2">
      <c r="A9" s="10" t="str">
        <f t="shared" si="1"/>
        <v>IRP23</v>
      </c>
      <c r="B9" s="44" t="s">
        <v>13</v>
      </c>
      <c r="C9" s="44" t="s">
        <v>6</v>
      </c>
      <c r="D9" s="7">
        <v>272</v>
      </c>
      <c r="E9" s="7">
        <v>272</v>
      </c>
      <c r="F9" s="7">
        <v>272</v>
      </c>
      <c r="G9" s="7">
        <v>272</v>
      </c>
      <c r="H9" s="7">
        <v>272</v>
      </c>
      <c r="I9" s="7">
        <v>272</v>
      </c>
      <c r="J9" s="48">
        <f t="shared" ref="J9:AH9" si="10">J6</f>
        <v>280</v>
      </c>
      <c r="K9" s="48">
        <f t="shared" si="10"/>
        <v>280</v>
      </c>
      <c r="L9" s="48">
        <f t="shared" si="10"/>
        <v>280</v>
      </c>
      <c r="M9" s="48">
        <f t="shared" si="10"/>
        <v>280</v>
      </c>
      <c r="N9" s="48">
        <f t="shared" si="10"/>
        <v>280</v>
      </c>
      <c r="O9" s="48">
        <f t="shared" si="10"/>
        <v>280</v>
      </c>
      <c r="P9" s="48">
        <f t="shared" si="10"/>
        <v>280</v>
      </c>
      <c r="Q9" s="48">
        <f t="shared" si="10"/>
        <v>280</v>
      </c>
      <c r="R9" s="48">
        <f t="shared" si="10"/>
        <v>280</v>
      </c>
      <c r="S9" s="48">
        <f t="shared" si="10"/>
        <v>280</v>
      </c>
      <c r="T9" s="48">
        <f t="shared" si="10"/>
        <v>280</v>
      </c>
      <c r="U9" s="48">
        <f t="shared" si="10"/>
        <v>280</v>
      </c>
      <c r="V9" s="48">
        <f t="shared" si="10"/>
        <v>280</v>
      </c>
      <c r="W9" s="48">
        <f t="shared" si="10"/>
        <v>280</v>
      </c>
      <c r="X9" s="48">
        <f t="shared" si="10"/>
        <v>280</v>
      </c>
      <c r="Y9" s="48">
        <f t="shared" si="10"/>
        <v>280</v>
      </c>
      <c r="Z9" s="48">
        <f t="shared" si="10"/>
        <v>280</v>
      </c>
      <c r="AA9" s="48">
        <f t="shared" si="10"/>
        <v>280</v>
      </c>
      <c r="AB9" s="48">
        <f t="shared" si="10"/>
        <v>280</v>
      </c>
      <c r="AC9" s="48">
        <f t="shared" si="10"/>
        <v>280</v>
      </c>
      <c r="AD9" s="48">
        <f t="shared" si="10"/>
        <v>560</v>
      </c>
      <c r="AE9" s="48">
        <f t="shared" si="10"/>
        <v>560</v>
      </c>
      <c r="AF9" s="48">
        <f t="shared" si="10"/>
        <v>560</v>
      </c>
      <c r="AG9" s="48">
        <f t="shared" si="10"/>
        <v>560</v>
      </c>
      <c r="AH9" s="48">
        <f t="shared" si="10"/>
        <v>560</v>
      </c>
      <c r="AI9" s="48">
        <f t="shared" ref="AI9:AR9" si="11">AI4</f>
        <v>280</v>
      </c>
      <c r="AJ9" s="48">
        <f t="shared" si="11"/>
        <v>280</v>
      </c>
      <c r="AK9" s="48">
        <f t="shared" si="11"/>
        <v>280</v>
      </c>
      <c r="AL9" s="48">
        <f t="shared" si="11"/>
        <v>280</v>
      </c>
      <c r="AM9" s="48">
        <f t="shared" si="11"/>
        <v>280</v>
      </c>
      <c r="AN9" s="14">
        <f t="shared" si="11"/>
        <v>280</v>
      </c>
      <c r="AO9" s="14">
        <f t="shared" si="11"/>
        <v>280</v>
      </c>
      <c r="AP9" s="14">
        <f t="shared" si="11"/>
        <v>280</v>
      </c>
      <c r="AQ9" s="14">
        <f t="shared" si="11"/>
        <v>280</v>
      </c>
      <c r="AR9" s="14">
        <f t="shared" si="11"/>
        <v>280</v>
      </c>
      <c r="AS9" s="53">
        <f>AS2</f>
        <v>560</v>
      </c>
    </row>
    <row r="10" spans="1:45" x14ac:dyDescent="0.2">
      <c r="A10" s="10" t="str">
        <f>A7</f>
        <v>IRP23</v>
      </c>
      <c r="B10" s="45" t="s">
        <v>15</v>
      </c>
      <c r="C10" s="45" t="s">
        <v>6</v>
      </c>
      <c r="D10" s="3">
        <v>45.18</v>
      </c>
      <c r="E10" s="3">
        <v>45.18</v>
      </c>
      <c r="F10" s="3">
        <v>45.18</v>
      </c>
      <c r="G10" s="3">
        <v>45.18</v>
      </c>
      <c r="H10" s="3">
        <v>45.18</v>
      </c>
      <c r="I10" s="3">
        <v>45.18</v>
      </c>
      <c r="J10" s="49">
        <v>45.18</v>
      </c>
      <c r="K10" s="49">
        <v>45.18</v>
      </c>
      <c r="L10" s="49">
        <v>45.18</v>
      </c>
      <c r="M10" s="49">
        <v>45.18</v>
      </c>
      <c r="N10" s="49">
        <v>45.18</v>
      </c>
      <c r="O10" s="49">
        <v>45.18</v>
      </c>
      <c r="P10" s="49">
        <v>45.18</v>
      </c>
      <c r="Q10" s="49">
        <v>45.18</v>
      </c>
      <c r="R10" s="49">
        <v>45.18</v>
      </c>
      <c r="S10" s="49">
        <v>45.18</v>
      </c>
      <c r="T10" s="49">
        <v>45.18</v>
      </c>
      <c r="U10" s="49">
        <v>45.18</v>
      </c>
      <c r="V10" s="49">
        <v>45.18</v>
      </c>
      <c r="W10" s="49">
        <v>45.18</v>
      </c>
      <c r="X10" s="49">
        <v>45.18</v>
      </c>
      <c r="Y10" s="49">
        <v>45.18</v>
      </c>
      <c r="Z10" s="49">
        <v>45.18</v>
      </c>
      <c r="AA10" s="49">
        <v>45.18</v>
      </c>
      <c r="AB10" s="49">
        <v>45.18</v>
      </c>
      <c r="AC10" s="49">
        <v>45.18</v>
      </c>
      <c r="AD10" s="49">
        <v>45.18</v>
      </c>
      <c r="AE10" s="49">
        <v>45.18</v>
      </c>
      <c r="AF10" s="49">
        <v>45.18</v>
      </c>
      <c r="AG10" s="49">
        <v>45.18</v>
      </c>
      <c r="AH10" s="49">
        <v>45.18</v>
      </c>
      <c r="AI10" s="49">
        <v>45.18</v>
      </c>
      <c r="AJ10" s="49">
        <f t="shared" ref="AJ10:AS10" si="12">AI10</f>
        <v>45.18</v>
      </c>
      <c r="AK10" s="49">
        <f t="shared" si="12"/>
        <v>45.18</v>
      </c>
      <c r="AL10" s="49">
        <f t="shared" si="12"/>
        <v>45.18</v>
      </c>
      <c r="AM10" s="49">
        <f t="shared" si="12"/>
        <v>45.18</v>
      </c>
      <c r="AN10" s="49">
        <f t="shared" si="12"/>
        <v>45.18</v>
      </c>
      <c r="AO10" s="49">
        <f t="shared" si="12"/>
        <v>45.18</v>
      </c>
      <c r="AP10" s="49">
        <f t="shared" si="12"/>
        <v>45.18</v>
      </c>
      <c r="AQ10" s="49">
        <f t="shared" si="12"/>
        <v>45.18</v>
      </c>
      <c r="AR10" s="49">
        <f t="shared" si="12"/>
        <v>45.18</v>
      </c>
      <c r="AS10" s="49">
        <f t="shared" si="12"/>
        <v>45.18</v>
      </c>
    </row>
    <row r="11" spans="1:45" x14ac:dyDescent="0.2">
      <c r="A11" s="10" t="str">
        <f t="shared" si="1"/>
        <v>IRP23</v>
      </c>
      <c r="B11" s="44" t="s">
        <v>16</v>
      </c>
      <c r="C11" s="44" t="s">
        <v>6</v>
      </c>
      <c r="D11" s="7">
        <v>18</v>
      </c>
      <c r="E11" s="7">
        <v>18</v>
      </c>
      <c r="F11" s="7">
        <v>18</v>
      </c>
      <c r="G11" s="7">
        <v>18</v>
      </c>
      <c r="H11" s="7">
        <v>18</v>
      </c>
      <c r="I11" s="7">
        <v>18</v>
      </c>
      <c r="J11" s="50">
        <v>18</v>
      </c>
      <c r="K11" s="50">
        <v>18</v>
      </c>
      <c r="L11" s="50">
        <v>18</v>
      </c>
      <c r="M11" s="50">
        <v>18</v>
      </c>
      <c r="N11" s="50">
        <v>18</v>
      </c>
      <c r="O11" s="50">
        <v>18</v>
      </c>
      <c r="P11" s="50">
        <v>18</v>
      </c>
      <c r="Q11" s="50">
        <v>18</v>
      </c>
      <c r="R11" s="50">
        <v>18</v>
      </c>
      <c r="S11" s="50">
        <v>18</v>
      </c>
      <c r="T11" s="50">
        <v>18</v>
      </c>
      <c r="U11" s="50">
        <v>18</v>
      </c>
      <c r="V11" s="50">
        <v>18</v>
      </c>
      <c r="W11" s="50">
        <v>18</v>
      </c>
      <c r="X11" s="50">
        <v>18</v>
      </c>
      <c r="Y11" s="50">
        <v>18</v>
      </c>
      <c r="Z11" s="50">
        <v>18</v>
      </c>
      <c r="AA11" s="50">
        <v>18</v>
      </c>
      <c r="AB11" s="50">
        <v>18</v>
      </c>
      <c r="AC11" s="50">
        <v>18</v>
      </c>
      <c r="AD11" s="50">
        <v>18</v>
      </c>
      <c r="AE11" s="50">
        <v>18</v>
      </c>
      <c r="AF11" s="50">
        <v>18</v>
      </c>
      <c r="AG11" s="50">
        <v>18</v>
      </c>
      <c r="AH11" s="50">
        <v>18</v>
      </c>
      <c r="AI11" s="50">
        <v>18</v>
      </c>
      <c r="AJ11" s="50">
        <f t="shared" ref="AJ11:AS11" si="13">AI11</f>
        <v>18</v>
      </c>
      <c r="AK11" s="50">
        <f t="shared" si="13"/>
        <v>18</v>
      </c>
      <c r="AL11" s="50">
        <f t="shared" si="13"/>
        <v>18</v>
      </c>
      <c r="AM11" s="50">
        <f t="shared" si="13"/>
        <v>18</v>
      </c>
      <c r="AN11" s="50">
        <f t="shared" si="13"/>
        <v>18</v>
      </c>
      <c r="AO11" s="50">
        <f t="shared" si="13"/>
        <v>18</v>
      </c>
      <c r="AP11" s="50">
        <f t="shared" si="13"/>
        <v>18</v>
      </c>
      <c r="AQ11" s="50">
        <f t="shared" si="13"/>
        <v>18</v>
      </c>
      <c r="AR11" s="50">
        <f t="shared" si="13"/>
        <v>18</v>
      </c>
      <c r="AS11" s="50">
        <f t="shared" si="13"/>
        <v>18</v>
      </c>
    </row>
    <row r="12" spans="1:45" x14ac:dyDescent="0.2">
      <c r="A12" s="10" t="str">
        <f t="shared" si="1"/>
        <v>IRP23</v>
      </c>
      <c r="B12" s="45" t="s">
        <v>17</v>
      </c>
      <c r="C12" s="45" t="s">
        <v>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9">
        <v>0</v>
      </c>
      <c r="AJ12" s="49">
        <f t="shared" ref="AJ12:AS12" si="14">AI12</f>
        <v>0</v>
      </c>
      <c r="AK12" s="49">
        <f t="shared" si="14"/>
        <v>0</v>
      </c>
      <c r="AL12" s="49">
        <f t="shared" si="14"/>
        <v>0</v>
      </c>
      <c r="AM12" s="49">
        <f t="shared" si="14"/>
        <v>0</v>
      </c>
      <c r="AN12" s="49">
        <f t="shared" si="14"/>
        <v>0</v>
      </c>
      <c r="AO12" s="49">
        <f t="shared" si="14"/>
        <v>0</v>
      </c>
      <c r="AP12" s="49">
        <f t="shared" si="14"/>
        <v>0</v>
      </c>
      <c r="AQ12" s="49">
        <f t="shared" si="14"/>
        <v>0</v>
      </c>
      <c r="AR12" s="49">
        <f t="shared" si="14"/>
        <v>0</v>
      </c>
      <c r="AS12" s="49">
        <f t="shared" si="14"/>
        <v>0</v>
      </c>
    </row>
    <row r="13" spans="1:45" x14ac:dyDescent="0.2">
      <c r="A13" s="17" t="str">
        <f t="shared" si="1"/>
        <v>IRP23</v>
      </c>
      <c r="B13" s="46" t="s">
        <v>14</v>
      </c>
      <c r="C13" s="46" t="s">
        <v>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f t="shared" ref="AJ13:AS13" si="15">AI13</f>
        <v>0</v>
      </c>
      <c r="AK13" s="51">
        <f t="shared" si="15"/>
        <v>0</v>
      </c>
      <c r="AL13" s="51">
        <f t="shared" si="15"/>
        <v>0</v>
      </c>
      <c r="AM13" s="51">
        <f t="shared" si="15"/>
        <v>0</v>
      </c>
      <c r="AN13" s="51">
        <f t="shared" si="15"/>
        <v>0</v>
      </c>
      <c r="AO13" s="51">
        <f t="shared" si="15"/>
        <v>0</v>
      </c>
      <c r="AP13" s="51">
        <f t="shared" si="15"/>
        <v>0</v>
      </c>
      <c r="AQ13" s="51">
        <f t="shared" si="15"/>
        <v>0</v>
      </c>
      <c r="AR13" s="51">
        <f t="shared" si="15"/>
        <v>0</v>
      </c>
      <c r="AS13" s="51">
        <f t="shared" si="15"/>
        <v>0</v>
      </c>
    </row>
    <row r="14" spans="1:45" x14ac:dyDescent="0.2">
      <c r="A14" s="18" t="s">
        <v>18</v>
      </c>
      <c r="B14" s="45" t="s">
        <v>5</v>
      </c>
      <c r="C14" s="45" t="s">
        <v>6</v>
      </c>
      <c r="D14" s="3">
        <v>400.69668080000002</v>
      </c>
      <c r="E14" s="3">
        <v>402.46947069999999</v>
      </c>
      <c r="F14" s="3">
        <v>402.49143750000002</v>
      </c>
      <c r="G14" s="3">
        <v>405.597127</v>
      </c>
      <c r="H14" s="3">
        <v>406.51069790000003</v>
      </c>
      <c r="I14" s="3">
        <v>408.73353279999998</v>
      </c>
      <c r="J14" s="15">
        <f>816*1.06</f>
        <v>864.96</v>
      </c>
      <c r="K14" s="15">
        <f t="shared" ref="K14:AS15" si="16">816*1.06</f>
        <v>864.96</v>
      </c>
      <c r="L14" s="15">
        <f t="shared" si="16"/>
        <v>864.96</v>
      </c>
      <c r="M14" s="15">
        <f t="shared" si="16"/>
        <v>864.96</v>
      </c>
      <c r="N14" s="15">
        <f t="shared" si="16"/>
        <v>864.96</v>
      </c>
      <c r="O14" s="15">
        <f t="shared" si="16"/>
        <v>864.96</v>
      </c>
      <c r="P14" s="15">
        <f t="shared" si="16"/>
        <v>864.96</v>
      </c>
      <c r="Q14" s="15">
        <f t="shared" si="16"/>
        <v>864.96</v>
      </c>
      <c r="R14" s="15">
        <f t="shared" si="16"/>
        <v>864.96</v>
      </c>
      <c r="S14" s="15">
        <f t="shared" si="16"/>
        <v>864.96</v>
      </c>
      <c r="T14" s="15">
        <f t="shared" si="16"/>
        <v>864.96</v>
      </c>
      <c r="U14" s="15">
        <f t="shared" si="16"/>
        <v>864.96</v>
      </c>
      <c r="V14" s="15">
        <f t="shared" si="16"/>
        <v>864.96</v>
      </c>
      <c r="W14" s="15">
        <f t="shared" si="16"/>
        <v>864.96</v>
      </c>
      <c r="X14" s="15">
        <f t="shared" si="16"/>
        <v>864.96</v>
      </c>
      <c r="Y14" s="15">
        <f t="shared" si="16"/>
        <v>864.96</v>
      </c>
      <c r="Z14" s="15">
        <f t="shared" si="16"/>
        <v>864.96</v>
      </c>
      <c r="AA14" s="15">
        <f t="shared" si="16"/>
        <v>864.96</v>
      </c>
      <c r="AB14" s="15">
        <f t="shared" si="16"/>
        <v>864.96</v>
      </c>
      <c r="AC14" s="15">
        <f t="shared" si="16"/>
        <v>864.96</v>
      </c>
      <c r="AD14" s="15">
        <f t="shared" si="16"/>
        <v>864.96</v>
      </c>
      <c r="AE14" s="15">
        <f t="shared" si="16"/>
        <v>864.96</v>
      </c>
      <c r="AF14" s="15">
        <f t="shared" si="16"/>
        <v>864.96</v>
      </c>
      <c r="AG14" s="15">
        <f t="shared" si="16"/>
        <v>864.96</v>
      </c>
      <c r="AH14" s="15">
        <f t="shared" si="16"/>
        <v>864.96</v>
      </c>
      <c r="AI14" s="15">
        <f t="shared" si="16"/>
        <v>864.96</v>
      </c>
      <c r="AJ14" s="15">
        <f t="shared" si="16"/>
        <v>864.96</v>
      </c>
      <c r="AK14" s="15">
        <f t="shared" si="16"/>
        <v>864.96</v>
      </c>
      <c r="AL14" s="15">
        <f t="shared" si="16"/>
        <v>864.96</v>
      </c>
      <c r="AM14" s="15">
        <f t="shared" si="16"/>
        <v>864.96</v>
      </c>
      <c r="AN14" s="15">
        <f t="shared" si="16"/>
        <v>864.96</v>
      </c>
      <c r="AO14" s="15">
        <f t="shared" si="16"/>
        <v>864.96</v>
      </c>
      <c r="AP14" s="15">
        <f t="shared" si="16"/>
        <v>864.96</v>
      </c>
      <c r="AQ14" s="15">
        <f t="shared" si="16"/>
        <v>864.96</v>
      </c>
      <c r="AR14" s="15">
        <f t="shared" si="16"/>
        <v>864.96</v>
      </c>
      <c r="AS14" s="15">
        <f t="shared" si="16"/>
        <v>864.96</v>
      </c>
    </row>
    <row r="15" spans="1:45" x14ac:dyDescent="0.2">
      <c r="A15" s="18" t="str">
        <f t="shared" ref="A15:A25" si="17">A14</f>
        <v>ME_IRP23</v>
      </c>
      <c r="B15" s="44" t="s">
        <v>7</v>
      </c>
      <c r="C15" s="44" t="s">
        <v>6</v>
      </c>
      <c r="D15" s="7">
        <v>400.69668080000002</v>
      </c>
      <c r="E15" s="7">
        <v>402.46947069999999</v>
      </c>
      <c r="F15" s="7">
        <v>402.49143750000002</v>
      </c>
      <c r="G15" s="7">
        <v>405.597127</v>
      </c>
      <c r="H15" s="7">
        <v>406.51069790000003</v>
      </c>
      <c r="I15" s="7">
        <v>408.73353279999998</v>
      </c>
      <c r="J15" s="15">
        <f>816*1.06</f>
        <v>864.96</v>
      </c>
      <c r="K15" s="15">
        <f t="shared" si="16"/>
        <v>864.96</v>
      </c>
      <c r="L15" s="15">
        <f t="shared" si="16"/>
        <v>864.96</v>
      </c>
      <c r="M15" s="15">
        <f t="shared" si="16"/>
        <v>864.96</v>
      </c>
      <c r="N15" s="15">
        <f t="shared" si="16"/>
        <v>864.96</v>
      </c>
      <c r="O15" s="15">
        <f t="shared" si="16"/>
        <v>864.96</v>
      </c>
      <c r="P15" s="15">
        <f t="shared" si="16"/>
        <v>864.96</v>
      </c>
      <c r="Q15" s="15">
        <f t="shared" si="16"/>
        <v>864.96</v>
      </c>
      <c r="R15" s="15">
        <f t="shared" si="16"/>
        <v>864.96</v>
      </c>
      <c r="S15" s="15">
        <f t="shared" si="16"/>
        <v>864.96</v>
      </c>
      <c r="T15" s="15">
        <f t="shared" si="16"/>
        <v>864.96</v>
      </c>
      <c r="U15" s="15">
        <f t="shared" si="16"/>
        <v>864.96</v>
      </c>
      <c r="V15" s="15">
        <f t="shared" si="16"/>
        <v>864.96</v>
      </c>
      <c r="W15" s="15">
        <f t="shared" si="16"/>
        <v>864.96</v>
      </c>
      <c r="X15" s="15">
        <f t="shared" si="16"/>
        <v>864.96</v>
      </c>
      <c r="Y15" s="15">
        <f t="shared" si="16"/>
        <v>864.96</v>
      </c>
      <c r="Z15" s="15">
        <f t="shared" si="16"/>
        <v>864.96</v>
      </c>
      <c r="AA15" s="15">
        <f t="shared" si="16"/>
        <v>864.96</v>
      </c>
      <c r="AB15" s="15">
        <f t="shared" si="16"/>
        <v>864.96</v>
      </c>
      <c r="AC15" s="15">
        <f t="shared" si="16"/>
        <v>864.96</v>
      </c>
      <c r="AD15" s="15">
        <f t="shared" si="16"/>
        <v>864.96</v>
      </c>
      <c r="AE15" s="15">
        <f t="shared" si="16"/>
        <v>864.96</v>
      </c>
      <c r="AF15" s="15">
        <f t="shared" si="16"/>
        <v>864.96</v>
      </c>
      <c r="AG15" s="15">
        <f t="shared" si="16"/>
        <v>864.96</v>
      </c>
      <c r="AH15" s="15">
        <f t="shared" si="16"/>
        <v>864.96</v>
      </c>
      <c r="AI15" s="15">
        <f t="shared" si="16"/>
        <v>864.96</v>
      </c>
      <c r="AJ15" s="15">
        <f t="shared" si="16"/>
        <v>864.96</v>
      </c>
      <c r="AK15" s="15">
        <f t="shared" si="16"/>
        <v>864.96</v>
      </c>
      <c r="AL15" s="15">
        <f t="shared" si="16"/>
        <v>864.96</v>
      </c>
      <c r="AM15" s="15">
        <f t="shared" si="16"/>
        <v>864.96</v>
      </c>
      <c r="AN15" s="15">
        <f t="shared" si="16"/>
        <v>864.96</v>
      </c>
      <c r="AO15" s="15">
        <f t="shared" si="16"/>
        <v>864.96</v>
      </c>
      <c r="AP15" s="15">
        <f t="shared" si="16"/>
        <v>864.96</v>
      </c>
      <c r="AQ15" s="15">
        <f t="shared" si="16"/>
        <v>864.96</v>
      </c>
      <c r="AR15" s="15">
        <f t="shared" si="16"/>
        <v>864.96</v>
      </c>
      <c r="AS15" s="15">
        <f t="shared" si="16"/>
        <v>864.96</v>
      </c>
    </row>
    <row r="16" spans="1:45" x14ac:dyDescent="0.2">
      <c r="A16" s="18" t="str">
        <f t="shared" si="17"/>
        <v>ME_IRP23</v>
      </c>
      <c r="B16" s="45" t="s">
        <v>8</v>
      </c>
      <c r="C16" s="45" t="s">
        <v>6</v>
      </c>
      <c r="D16" s="3">
        <v>272</v>
      </c>
      <c r="E16" s="3">
        <v>272</v>
      </c>
      <c r="F16" s="3">
        <v>272</v>
      </c>
      <c r="G16" s="3">
        <v>272</v>
      </c>
      <c r="H16" s="3">
        <v>272</v>
      </c>
      <c r="I16" s="3">
        <v>272</v>
      </c>
      <c r="J16" s="15">
        <f>272*1.06</f>
        <v>288.32</v>
      </c>
      <c r="K16" s="15">
        <f t="shared" ref="K16:AS16" si="18">272*1.06</f>
        <v>288.32</v>
      </c>
      <c r="L16" s="15">
        <f t="shared" si="18"/>
        <v>288.32</v>
      </c>
      <c r="M16" s="15">
        <f t="shared" si="18"/>
        <v>288.32</v>
      </c>
      <c r="N16" s="15">
        <f t="shared" si="18"/>
        <v>288.32</v>
      </c>
      <c r="O16" s="15">
        <f t="shared" si="18"/>
        <v>288.32</v>
      </c>
      <c r="P16" s="15">
        <f t="shared" si="18"/>
        <v>288.32</v>
      </c>
      <c r="Q16" s="15">
        <f t="shared" si="18"/>
        <v>288.32</v>
      </c>
      <c r="R16" s="15">
        <f t="shared" si="18"/>
        <v>288.32</v>
      </c>
      <c r="S16" s="15">
        <f t="shared" si="18"/>
        <v>288.32</v>
      </c>
      <c r="T16" s="15">
        <f t="shared" si="18"/>
        <v>288.32</v>
      </c>
      <c r="U16" s="15">
        <f t="shared" si="18"/>
        <v>288.32</v>
      </c>
      <c r="V16" s="15">
        <f t="shared" si="18"/>
        <v>288.32</v>
      </c>
      <c r="W16" s="15">
        <f t="shared" si="18"/>
        <v>288.32</v>
      </c>
      <c r="X16" s="15">
        <f t="shared" si="18"/>
        <v>288.32</v>
      </c>
      <c r="Y16" s="15">
        <f t="shared" si="18"/>
        <v>288.32</v>
      </c>
      <c r="Z16" s="15">
        <f t="shared" si="18"/>
        <v>288.32</v>
      </c>
      <c r="AA16" s="15">
        <f t="shared" si="18"/>
        <v>288.32</v>
      </c>
      <c r="AB16" s="15">
        <f t="shared" si="18"/>
        <v>288.32</v>
      </c>
      <c r="AC16" s="15">
        <f t="shared" si="18"/>
        <v>288.32</v>
      </c>
      <c r="AD16" s="15">
        <f t="shared" si="18"/>
        <v>288.32</v>
      </c>
      <c r="AE16" s="15">
        <f t="shared" si="18"/>
        <v>288.32</v>
      </c>
      <c r="AF16" s="15">
        <f t="shared" si="18"/>
        <v>288.32</v>
      </c>
      <c r="AG16" s="15">
        <f t="shared" si="18"/>
        <v>288.32</v>
      </c>
      <c r="AH16" s="15">
        <f t="shared" si="18"/>
        <v>288.32</v>
      </c>
      <c r="AI16" s="15">
        <f t="shared" si="18"/>
        <v>288.32</v>
      </c>
      <c r="AJ16" s="15">
        <f t="shared" si="18"/>
        <v>288.32</v>
      </c>
      <c r="AK16" s="15">
        <f t="shared" si="18"/>
        <v>288.32</v>
      </c>
      <c r="AL16" s="15">
        <f t="shared" si="18"/>
        <v>288.32</v>
      </c>
      <c r="AM16" s="15">
        <f t="shared" si="18"/>
        <v>288.32</v>
      </c>
      <c r="AN16" s="15">
        <f t="shared" si="18"/>
        <v>288.32</v>
      </c>
      <c r="AO16" s="15">
        <f t="shared" si="18"/>
        <v>288.32</v>
      </c>
      <c r="AP16" s="15">
        <f t="shared" si="18"/>
        <v>288.32</v>
      </c>
      <c r="AQ16" s="15">
        <f t="shared" si="18"/>
        <v>288.32</v>
      </c>
      <c r="AR16" s="15">
        <f t="shared" si="18"/>
        <v>288.32</v>
      </c>
      <c r="AS16" s="15">
        <f t="shared" si="18"/>
        <v>288.32</v>
      </c>
    </row>
    <row r="17" spans="1:45" x14ac:dyDescent="0.2">
      <c r="A17" s="18" t="str">
        <f t="shared" si="17"/>
        <v>ME_IRP23</v>
      </c>
      <c r="B17" s="44" t="s">
        <v>9</v>
      </c>
      <c r="C17" s="44" t="s">
        <v>6</v>
      </c>
      <c r="D17" s="7">
        <v>272</v>
      </c>
      <c r="E17" s="7">
        <v>272</v>
      </c>
      <c r="F17" s="7">
        <v>272</v>
      </c>
      <c r="G17" s="7">
        <v>272</v>
      </c>
      <c r="H17" s="7">
        <v>272</v>
      </c>
      <c r="I17" s="7">
        <v>272</v>
      </c>
      <c r="J17" s="14">
        <f t="shared" ref="J17:X17" si="19">J16</f>
        <v>288.32</v>
      </c>
      <c r="K17" s="14">
        <f t="shared" si="19"/>
        <v>288.32</v>
      </c>
      <c r="L17" s="14">
        <f t="shared" si="19"/>
        <v>288.32</v>
      </c>
      <c r="M17" s="14">
        <f t="shared" si="19"/>
        <v>288.32</v>
      </c>
      <c r="N17" s="14">
        <f t="shared" si="19"/>
        <v>288.32</v>
      </c>
      <c r="O17" s="14">
        <f t="shared" si="19"/>
        <v>288.32</v>
      </c>
      <c r="P17" s="14">
        <f t="shared" si="19"/>
        <v>288.32</v>
      </c>
      <c r="Q17" s="14">
        <f t="shared" si="19"/>
        <v>288.32</v>
      </c>
      <c r="R17" s="14">
        <f t="shared" si="19"/>
        <v>288.32</v>
      </c>
      <c r="S17" s="14">
        <f t="shared" si="19"/>
        <v>288.32</v>
      </c>
      <c r="T17" s="14">
        <f t="shared" si="19"/>
        <v>288.32</v>
      </c>
      <c r="U17" s="14">
        <f t="shared" si="19"/>
        <v>288.32</v>
      </c>
      <c r="V17" s="14">
        <f t="shared" si="19"/>
        <v>288.32</v>
      </c>
      <c r="W17" s="14">
        <f t="shared" si="19"/>
        <v>288.32</v>
      </c>
      <c r="X17" s="14">
        <f t="shared" si="19"/>
        <v>288.32</v>
      </c>
      <c r="Y17" s="14">
        <f t="shared" ref="Y17:AS17" si="20">Y14</f>
        <v>864.96</v>
      </c>
      <c r="Z17" s="14">
        <f t="shared" si="20"/>
        <v>864.96</v>
      </c>
      <c r="AA17" s="14">
        <f t="shared" si="20"/>
        <v>864.96</v>
      </c>
      <c r="AB17" s="14">
        <f t="shared" si="20"/>
        <v>864.96</v>
      </c>
      <c r="AC17" s="14">
        <f t="shared" si="20"/>
        <v>864.96</v>
      </c>
      <c r="AD17" s="14">
        <f t="shared" si="20"/>
        <v>864.96</v>
      </c>
      <c r="AE17" s="14">
        <f t="shared" si="20"/>
        <v>864.96</v>
      </c>
      <c r="AF17" s="14">
        <f t="shared" si="20"/>
        <v>864.96</v>
      </c>
      <c r="AG17" s="14">
        <f t="shared" si="20"/>
        <v>864.96</v>
      </c>
      <c r="AH17" s="14">
        <f t="shared" si="20"/>
        <v>864.96</v>
      </c>
      <c r="AI17" s="14">
        <f t="shared" si="20"/>
        <v>864.96</v>
      </c>
      <c r="AJ17" s="14">
        <f t="shared" si="20"/>
        <v>864.96</v>
      </c>
      <c r="AK17" s="14">
        <f t="shared" si="20"/>
        <v>864.96</v>
      </c>
      <c r="AL17" s="14">
        <f t="shared" si="20"/>
        <v>864.96</v>
      </c>
      <c r="AM17" s="14">
        <f t="shared" si="20"/>
        <v>864.96</v>
      </c>
      <c r="AN17" s="14">
        <f t="shared" si="20"/>
        <v>864.96</v>
      </c>
      <c r="AO17" s="14">
        <f t="shared" si="20"/>
        <v>864.96</v>
      </c>
      <c r="AP17" s="14">
        <f t="shared" si="20"/>
        <v>864.96</v>
      </c>
      <c r="AQ17" s="14">
        <f t="shared" si="20"/>
        <v>864.96</v>
      </c>
      <c r="AR17" s="14">
        <f t="shared" si="20"/>
        <v>864.96</v>
      </c>
      <c r="AS17" s="14">
        <f t="shared" si="20"/>
        <v>864.96</v>
      </c>
    </row>
    <row r="18" spans="1:45" x14ac:dyDescent="0.2">
      <c r="A18" s="18" t="str">
        <f t="shared" si="17"/>
        <v>ME_IRP23</v>
      </c>
      <c r="B18" s="45" t="s">
        <v>10</v>
      </c>
      <c r="C18" s="45" t="s">
        <v>6</v>
      </c>
      <c r="D18" s="3">
        <v>272</v>
      </c>
      <c r="E18" s="3">
        <v>272</v>
      </c>
      <c r="F18" s="3">
        <v>272</v>
      </c>
      <c r="G18" s="3">
        <v>272</v>
      </c>
      <c r="H18" s="3">
        <v>272</v>
      </c>
      <c r="I18" s="3">
        <v>272</v>
      </c>
      <c r="J18" s="15">
        <f t="shared" ref="J18:AC18" si="21">J16</f>
        <v>288.32</v>
      </c>
      <c r="K18" s="15">
        <f t="shared" si="21"/>
        <v>288.32</v>
      </c>
      <c r="L18" s="15">
        <f t="shared" si="21"/>
        <v>288.32</v>
      </c>
      <c r="M18" s="15">
        <f t="shared" si="21"/>
        <v>288.32</v>
      </c>
      <c r="N18" s="15">
        <f t="shared" si="21"/>
        <v>288.32</v>
      </c>
      <c r="O18" s="15">
        <f t="shared" si="21"/>
        <v>288.32</v>
      </c>
      <c r="P18" s="15">
        <f t="shared" si="21"/>
        <v>288.32</v>
      </c>
      <c r="Q18" s="15">
        <f t="shared" si="21"/>
        <v>288.32</v>
      </c>
      <c r="R18" s="15">
        <f t="shared" si="21"/>
        <v>288.32</v>
      </c>
      <c r="S18" s="15">
        <f t="shared" si="21"/>
        <v>288.32</v>
      </c>
      <c r="T18" s="15">
        <f t="shared" si="21"/>
        <v>288.32</v>
      </c>
      <c r="U18" s="15">
        <f t="shared" si="21"/>
        <v>288.32</v>
      </c>
      <c r="V18" s="15">
        <f t="shared" si="21"/>
        <v>288.32</v>
      </c>
      <c r="W18" s="15">
        <f t="shared" si="21"/>
        <v>288.32</v>
      </c>
      <c r="X18" s="15">
        <f t="shared" si="21"/>
        <v>288.32</v>
      </c>
      <c r="Y18" s="15">
        <f t="shared" si="21"/>
        <v>288.32</v>
      </c>
      <c r="Z18" s="15">
        <f t="shared" si="21"/>
        <v>288.32</v>
      </c>
      <c r="AA18" s="15">
        <f t="shared" si="21"/>
        <v>288.32</v>
      </c>
      <c r="AB18" s="15">
        <f t="shared" si="21"/>
        <v>288.32</v>
      </c>
      <c r="AC18" s="15">
        <f t="shared" si="21"/>
        <v>288.32</v>
      </c>
      <c r="AD18" s="15">
        <f t="shared" ref="AD18:AS18" si="22">AD14</f>
        <v>864.96</v>
      </c>
      <c r="AE18" s="15">
        <f t="shared" si="22"/>
        <v>864.96</v>
      </c>
      <c r="AF18" s="15">
        <f t="shared" si="22"/>
        <v>864.96</v>
      </c>
      <c r="AG18" s="15">
        <f t="shared" si="22"/>
        <v>864.96</v>
      </c>
      <c r="AH18" s="15">
        <f t="shared" si="22"/>
        <v>864.96</v>
      </c>
      <c r="AI18" s="15">
        <f t="shared" si="22"/>
        <v>864.96</v>
      </c>
      <c r="AJ18" s="15">
        <f t="shared" si="22"/>
        <v>864.96</v>
      </c>
      <c r="AK18" s="15">
        <f t="shared" si="22"/>
        <v>864.96</v>
      </c>
      <c r="AL18" s="15">
        <f t="shared" si="22"/>
        <v>864.96</v>
      </c>
      <c r="AM18" s="15">
        <f t="shared" si="22"/>
        <v>864.96</v>
      </c>
      <c r="AN18" s="15">
        <f t="shared" si="22"/>
        <v>864.96</v>
      </c>
      <c r="AO18" s="15">
        <f t="shared" si="22"/>
        <v>864.96</v>
      </c>
      <c r="AP18" s="15">
        <f t="shared" si="22"/>
        <v>864.96</v>
      </c>
      <c r="AQ18" s="15">
        <f t="shared" si="22"/>
        <v>864.96</v>
      </c>
      <c r="AR18" s="15">
        <f t="shared" si="22"/>
        <v>864.96</v>
      </c>
      <c r="AS18" s="15">
        <f t="shared" si="22"/>
        <v>864.96</v>
      </c>
    </row>
    <row r="19" spans="1:45" x14ac:dyDescent="0.2">
      <c r="A19" s="18" t="str">
        <f t="shared" si="17"/>
        <v>ME_IRP23</v>
      </c>
      <c r="B19" s="44" t="s">
        <v>11</v>
      </c>
      <c r="C19" s="44" t="s">
        <v>6</v>
      </c>
      <c r="D19" s="7">
        <v>272</v>
      </c>
      <c r="E19" s="7">
        <v>272</v>
      </c>
      <c r="F19" s="7">
        <v>272</v>
      </c>
      <c r="G19" s="7">
        <v>272</v>
      </c>
      <c r="H19" s="7">
        <v>272</v>
      </c>
      <c r="I19" s="7">
        <v>272</v>
      </c>
      <c r="J19" s="14">
        <f t="shared" ref="J19:AH19" si="23">J16</f>
        <v>288.32</v>
      </c>
      <c r="K19" s="14">
        <f t="shared" si="23"/>
        <v>288.32</v>
      </c>
      <c r="L19" s="14">
        <f t="shared" si="23"/>
        <v>288.32</v>
      </c>
      <c r="M19" s="14">
        <f t="shared" si="23"/>
        <v>288.32</v>
      </c>
      <c r="N19" s="14">
        <f t="shared" si="23"/>
        <v>288.32</v>
      </c>
      <c r="O19" s="14">
        <f t="shared" si="23"/>
        <v>288.32</v>
      </c>
      <c r="P19" s="14">
        <f t="shared" si="23"/>
        <v>288.32</v>
      </c>
      <c r="Q19" s="14">
        <f t="shared" si="23"/>
        <v>288.32</v>
      </c>
      <c r="R19" s="14">
        <f t="shared" si="23"/>
        <v>288.32</v>
      </c>
      <c r="S19" s="14">
        <f t="shared" si="23"/>
        <v>288.32</v>
      </c>
      <c r="T19" s="14">
        <f t="shared" si="23"/>
        <v>288.32</v>
      </c>
      <c r="U19" s="14">
        <f t="shared" si="23"/>
        <v>288.32</v>
      </c>
      <c r="V19" s="14">
        <f t="shared" si="23"/>
        <v>288.32</v>
      </c>
      <c r="W19" s="14">
        <f t="shared" si="23"/>
        <v>288.32</v>
      </c>
      <c r="X19" s="14">
        <f t="shared" si="23"/>
        <v>288.32</v>
      </c>
      <c r="Y19" s="14">
        <f t="shared" si="23"/>
        <v>288.32</v>
      </c>
      <c r="Z19" s="14">
        <f t="shared" si="23"/>
        <v>288.32</v>
      </c>
      <c r="AA19" s="14">
        <f t="shared" si="23"/>
        <v>288.32</v>
      </c>
      <c r="AB19" s="14">
        <f t="shared" si="23"/>
        <v>288.32</v>
      </c>
      <c r="AC19" s="14">
        <f t="shared" si="23"/>
        <v>288.32</v>
      </c>
      <c r="AD19" s="14">
        <f t="shared" si="23"/>
        <v>288.32</v>
      </c>
      <c r="AE19" s="14">
        <f t="shared" si="23"/>
        <v>288.32</v>
      </c>
      <c r="AF19" s="14">
        <f t="shared" si="23"/>
        <v>288.32</v>
      </c>
      <c r="AG19" s="14">
        <f t="shared" si="23"/>
        <v>288.32</v>
      </c>
      <c r="AH19" s="14">
        <f t="shared" si="23"/>
        <v>288.32</v>
      </c>
      <c r="AI19" s="14">
        <f t="shared" ref="AI19:AS19" si="24">AI14</f>
        <v>864.96</v>
      </c>
      <c r="AJ19" s="14">
        <f t="shared" si="24"/>
        <v>864.96</v>
      </c>
      <c r="AK19" s="14">
        <f t="shared" si="24"/>
        <v>864.96</v>
      </c>
      <c r="AL19" s="14">
        <f t="shared" si="24"/>
        <v>864.96</v>
      </c>
      <c r="AM19" s="14">
        <f t="shared" si="24"/>
        <v>864.96</v>
      </c>
      <c r="AN19" s="14">
        <f t="shared" si="24"/>
        <v>864.96</v>
      </c>
      <c r="AO19" s="14">
        <f t="shared" si="24"/>
        <v>864.96</v>
      </c>
      <c r="AP19" s="14">
        <f t="shared" si="24"/>
        <v>864.96</v>
      </c>
      <c r="AQ19" s="14">
        <f t="shared" si="24"/>
        <v>864.96</v>
      </c>
      <c r="AR19" s="14">
        <f t="shared" si="24"/>
        <v>864.96</v>
      </c>
      <c r="AS19" s="14">
        <f t="shared" si="24"/>
        <v>864.96</v>
      </c>
    </row>
    <row r="20" spans="1:45" x14ac:dyDescent="0.2">
      <c r="A20" s="18" t="str">
        <f t="shared" si="17"/>
        <v>ME_IRP23</v>
      </c>
      <c r="B20" s="45" t="s">
        <v>12</v>
      </c>
      <c r="C20" s="45" t="s">
        <v>6</v>
      </c>
      <c r="D20" s="3">
        <v>272</v>
      </c>
      <c r="E20" s="3">
        <v>272</v>
      </c>
      <c r="F20" s="3">
        <v>272</v>
      </c>
      <c r="G20" s="3">
        <v>272</v>
      </c>
      <c r="H20" s="3">
        <v>272</v>
      </c>
      <c r="I20" s="3">
        <v>272</v>
      </c>
      <c r="J20" s="15">
        <f t="shared" ref="J20:AB20" si="25">J18</f>
        <v>288.32</v>
      </c>
      <c r="K20" s="15">
        <f t="shared" si="25"/>
        <v>288.32</v>
      </c>
      <c r="L20" s="15">
        <f t="shared" si="25"/>
        <v>288.32</v>
      </c>
      <c r="M20" s="15">
        <f t="shared" si="25"/>
        <v>288.32</v>
      </c>
      <c r="N20" s="15">
        <f t="shared" si="25"/>
        <v>288.32</v>
      </c>
      <c r="O20" s="15">
        <f t="shared" si="25"/>
        <v>288.32</v>
      </c>
      <c r="P20" s="15">
        <f t="shared" si="25"/>
        <v>288.32</v>
      </c>
      <c r="Q20" s="15">
        <f t="shared" si="25"/>
        <v>288.32</v>
      </c>
      <c r="R20" s="15">
        <f t="shared" si="25"/>
        <v>288.32</v>
      </c>
      <c r="S20" s="15">
        <f t="shared" si="25"/>
        <v>288.32</v>
      </c>
      <c r="T20" s="15">
        <f t="shared" si="25"/>
        <v>288.32</v>
      </c>
      <c r="U20" s="15">
        <f t="shared" si="25"/>
        <v>288.32</v>
      </c>
      <c r="V20" s="15">
        <f t="shared" si="25"/>
        <v>288.32</v>
      </c>
      <c r="W20" s="15">
        <f t="shared" si="25"/>
        <v>288.32</v>
      </c>
      <c r="X20" s="15">
        <f t="shared" si="25"/>
        <v>288.32</v>
      </c>
      <c r="Y20" s="15">
        <f t="shared" si="25"/>
        <v>288.32</v>
      </c>
      <c r="Z20" s="15">
        <f t="shared" si="25"/>
        <v>288.32</v>
      </c>
      <c r="AA20" s="15">
        <f t="shared" si="25"/>
        <v>288.32</v>
      </c>
      <c r="AB20" s="15">
        <f t="shared" si="25"/>
        <v>288.32</v>
      </c>
      <c r="AC20" s="15">
        <f t="shared" ref="AC20:AM20" si="26">AC16</f>
        <v>288.32</v>
      </c>
      <c r="AD20" s="15">
        <f t="shared" si="26"/>
        <v>288.32</v>
      </c>
      <c r="AE20" s="15">
        <f t="shared" si="26"/>
        <v>288.32</v>
      </c>
      <c r="AF20" s="15">
        <f t="shared" si="26"/>
        <v>288.32</v>
      </c>
      <c r="AG20" s="15">
        <f t="shared" si="26"/>
        <v>288.32</v>
      </c>
      <c r="AH20" s="15">
        <f t="shared" si="26"/>
        <v>288.32</v>
      </c>
      <c r="AI20" s="15">
        <f t="shared" si="26"/>
        <v>288.32</v>
      </c>
      <c r="AJ20" s="15">
        <f t="shared" si="26"/>
        <v>288.32</v>
      </c>
      <c r="AK20" s="15">
        <f t="shared" si="26"/>
        <v>288.32</v>
      </c>
      <c r="AL20" s="15">
        <f t="shared" si="26"/>
        <v>288.32</v>
      </c>
      <c r="AM20" s="15">
        <f t="shared" si="26"/>
        <v>288.32</v>
      </c>
      <c r="AN20" s="15">
        <f t="shared" ref="AN20:AS20" si="27">AN18</f>
        <v>864.96</v>
      </c>
      <c r="AO20" s="15">
        <f t="shared" si="27"/>
        <v>864.96</v>
      </c>
      <c r="AP20" s="15">
        <f t="shared" si="27"/>
        <v>864.96</v>
      </c>
      <c r="AQ20" s="15">
        <f t="shared" si="27"/>
        <v>864.96</v>
      </c>
      <c r="AR20" s="15">
        <f t="shared" si="27"/>
        <v>864.96</v>
      </c>
      <c r="AS20" s="15">
        <f t="shared" si="27"/>
        <v>864.96</v>
      </c>
    </row>
    <row r="21" spans="1:45" x14ac:dyDescent="0.2">
      <c r="A21" s="18" t="str">
        <f t="shared" si="17"/>
        <v>ME_IRP23</v>
      </c>
      <c r="B21" s="44" t="s">
        <v>13</v>
      </c>
      <c r="C21" s="44" t="s">
        <v>6</v>
      </c>
      <c r="D21" s="7">
        <v>272</v>
      </c>
      <c r="E21" s="7">
        <v>272</v>
      </c>
      <c r="F21" s="7">
        <v>272</v>
      </c>
      <c r="G21" s="7">
        <v>272</v>
      </c>
      <c r="H21" s="7">
        <v>272</v>
      </c>
      <c r="I21" s="7">
        <v>272</v>
      </c>
      <c r="J21" s="14">
        <f t="shared" ref="J21:AB21" si="28">J18</f>
        <v>288.32</v>
      </c>
      <c r="K21" s="14">
        <f t="shared" si="28"/>
        <v>288.32</v>
      </c>
      <c r="L21" s="14">
        <f t="shared" si="28"/>
        <v>288.32</v>
      </c>
      <c r="M21" s="14">
        <f t="shared" si="28"/>
        <v>288.32</v>
      </c>
      <c r="N21" s="14">
        <f t="shared" si="28"/>
        <v>288.32</v>
      </c>
      <c r="O21" s="14">
        <f t="shared" si="28"/>
        <v>288.32</v>
      </c>
      <c r="P21" s="14">
        <f t="shared" si="28"/>
        <v>288.32</v>
      </c>
      <c r="Q21" s="14">
        <f t="shared" si="28"/>
        <v>288.32</v>
      </c>
      <c r="R21" s="14">
        <f t="shared" si="28"/>
        <v>288.32</v>
      </c>
      <c r="S21" s="14">
        <f t="shared" si="28"/>
        <v>288.32</v>
      </c>
      <c r="T21" s="14">
        <f t="shared" si="28"/>
        <v>288.32</v>
      </c>
      <c r="U21" s="14">
        <f t="shared" si="28"/>
        <v>288.32</v>
      </c>
      <c r="V21" s="14">
        <f t="shared" si="28"/>
        <v>288.32</v>
      </c>
      <c r="W21" s="14">
        <f t="shared" si="28"/>
        <v>288.32</v>
      </c>
      <c r="X21" s="14">
        <f t="shared" si="28"/>
        <v>288.32</v>
      </c>
      <c r="Y21" s="14">
        <f t="shared" si="28"/>
        <v>288.32</v>
      </c>
      <c r="Z21" s="14">
        <f t="shared" si="28"/>
        <v>288.32</v>
      </c>
      <c r="AA21" s="14">
        <f t="shared" si="28"/>
        <v>288.32</v>
      </c>
      <c r="AB21" s="14">
        <f t="shared" si="28"/>
        <v>288.32</v>
      </c>
      <c r="AC21" s="14">
        <f t="shared" ref="AC21:AR21" si="29">AC16</f>
        <v>288.32</v>
      </c>
      <c r="AD21" s="14">
        <f t="shared" si="29"/>
        <v>288.32</v>
      </c>
      <c r="AE21" s="14">
        <f t="shared" si="29"/>
        <v>288.32</v>
      </c>
      <c r="AF21" s="14">
        <f t="shared" si="29"/>
        <v>288.32</v>
      </c>
      <c r="AG21" s="14">
        <f t="shared" si="29"/>
        <v>288.32</v>
      </c>
      <c r="AH21" s="14">
        <f t="shared" si="29"/>
        <v>288.32</v>
      </c>
      <c r="AI21" s="14">
        <f t="shared" si="29"/>
        <v>288.32</v>
      </c>
      <c r="AJ21" s="14">
        <f t="shared" si="29"/>
        <v>288.32</v>
      </c>
      <c r="AK21" s="14">
        <f t="shared" si="29"/>
        <v>288.32</v>
      </c>
      <c r="AL21" s="14">
        <f t="shared" si="29"/>
        <v>288.32</v>
      </c>
      <c r="AM21" s="14">
        <f t="shared" si="29"/>
        <v>288.32</v>
      </c>
      <c r="AN21" s="14">
        <f t="shared" si="29"/>
        <v>288.32</v>
      </c>
      <c r="AO21" s="14">
        <f t="shared" si="29"/>
        <v>288.32</v>
      </c>
      <c r="AP21" s="14">
        <f t="shared" si="29"/>
        <v>288.32</v>
      </c>
      <c r="AQ21" s="14">
        <f t="shared" si="29"/>
        <v>288.32</v>
      </c>
      <c r="AR21" s="14">
        <f t="shared" si="29"/>
        <v>288.32</v>
      </c>
      <c r="AS21" s="14">
        <f>AS14</f>
        <v>864.96</v>
      </c>
    </row>
    <row r="22" spans="1:45" x14ac:dyDescent="0.2">
      <c r="A22" s="18" t="str">
        <f>A21</f>
        <v>ME_IRP23</v>
      </c>
      <c r="B22" s="45" t="s">
        <v>15</v>
      </c>
      <c r="C22" s="45" t="s">
        <v>6</v>
      </c>
      <c r="D22" s="3">
        <v>45.18</v>
      </c>
      <c r="E22" s="3">
        <v>45.18</v>
      </c>
      <c r="F22" s="3">
        <v>45.18</v>
      </c>
      <c r="G22" s="3">
        <v>45.18</v>
      </c>
      <c r="H22" s="3">
        <v>45.18</v>
      </c>
      <c r="I22" s="3">
        <v>45.18</v>
      </c>
      <c r="J22" s="49">
        <f>1.06*45.18</f>
        <v>47.890799999999999</v>
      </c>
      <c r="K22" s="49">
        <f t="shared" ref="K22:AS22" si="30">1.06*45.18</f>
        <v>47.890799999999999</v>
      </c>
      <c r="L22" s="49">
        <f t="shared" si="30"/>
        <v>47.890799999999999</v>
      </c>
      <c r="M22" s="49">
        <f t="shared" si="30"/>
        <v>47.890799999999999</v>
      </c>
      <c r="N22" s="49">
        <f t="shared" si="30"/>
        <v>47.890799999999999</v>
      </c>
      <c r="O22" s="49">
        <f t="shared" si="30"/>
        <v>47.890799999999999</v>
      </c>
      <c r="P22" s="49">
        <f t="shared" si="30"/>
        <v>47.890799999999999</v>
      </c>
      <c r="Q22" s="49">
        <f t="shared" si="30"/>
        <v>47.890799999999999</v>
      </c>
      <c r="R22" s="49">
        <f t="shared" si="30"/>
        <v>47.890799999999999</v>
      </c>
      <c r="S22" s="49">
        <f t="shared" si="30"/>
        <v>47.890799999999999</v>
      </c>
      <c r="T22" s="49">
        <f t="shared" si="30"/>
        <v>47.890799999999999</v>
      </c>
      <c r="U22" s="49">
        <f t="shared" si="30"/>
        <v>47.890799999999999</v>
      </c>
      <c r="V22" s="49">
        <f t="shared" si="30"/>
        <v>47.890799999999999</v>
      </c>
      <c r="W22" s="49">
        <f t="shared" si="30"/>
        <v>47.890799999999999</v>
      </c>
      <c r="X22" s="49">
        <f t="shared" si="30"/>
        <v>47.890799999999999</v>
      </c>
      <c r="Y22" s="49">
        <f t="shared" si="30"/>
        <v>47.890799999999999</v>
      </c>
      <c r="Z22" s="49">
        <f t="shared" si="30"/>
        <v>47.890799999999999</v>
      </c>
      <c r="AA22" s="49">
        <f t="shared" si="30"/>
        <v>47.890799999999999</v>
      </c>
      <c r="AB22" s="49">
        <f t="shared" si="30"/>
        <v>47.890799999999999</v>
      </c>
      <c r="AC22" s="49">
        <f t="shared" si="30"/>
        <v>47.890799999999999</v>
      </c>
      <c r="AD22" s="49">
        <f t="shared" si="30"/>
        <v>47.890799999999999</v>
      </c>
      <c r="AE22" s="49">
        <f t="shared" si="30"/>
        <v>47.890799999999999</v>
      </c>
      <c r="AF22" s="49">
        <f t="shared" si="30"/>
        <v>47.890799999999999</v>
      </c>
      <c r="AG22" s="49">
        <f t="shared" si="30"/>
        <v>47.890799999999999</v>
      </c>
      <c r="AH22" s="49">
        <f t="shared" si="30"/>
        <v>47.890799999999999</v>
      </c>
      <c r="AI22" s="49">
        <f t="shared" si="30"/>
        <v>47.890799999999999</v>
      </c>
      <c r="AJ22" s="49">
        <f t="shared" si="30"/>
        <v>47.890799999999999</v>
      </c>
      <c r="AK22" s="49">
        <f t="shared" si="30"/>
        <v>47.890799999999999</v>
      </c>
      <c r="AL22" s="49">
        <f t="shared" si="30"/>
        <v>47.890799999999999</v>
      </c>
      <c r="AM22" s="49">
        <f t="shared" si="30"/>
        <v>47.890799999999999</v>
      </c>
      <c r="AN22" s="49">
        <f t="shared" si="30"/>
        <v>47.890799999999999</v>
      </c>
      <c r="AO22" s="49">
        <f t="shared" si="30"/>
        <v>47.890799999999999</v>
      </c>
      <c r="AP22" s="49">
        <f t="shared" si="30"/>
        <v>47.890799999999999</v>
      </c>
      <c r="AQ22" s="49">
        <f t="shared" si="30"/>
        <v>47.890799999999999</v>
      </c>
      <c r="AR22" s="49">
        <f t="shared" si="30"/>
        <v>47.890799999999999</v>
      </c>
      <c r="AS22" s="49">
        <f t="shared" si="30"/>
        <v>47.890799999999999</v>
      </c>
    </row>
    <row r="23" spans="1:45" x14ac:dyDescent="0.2">
      <c r="A23" s="18" t="str">
        <f t="shared" si="17"/>
        <v>ME_IRP23</v>
      </c>
      <c r="B23" s="44" t="s">
        <v>16</v>
      </c>
      <c r="C23" s="44" t="s">
        <v>6</v>
      </c>
      <c r="D23" s="7">
        <v>18</v>
      </c>
      <c r="E23" s="7">
        <v>18</v>
      </c>
      <c r="F23" s="7">
        <v>18</v>
      </c>
      <c r="G23" s="7">
        <v>18</v>
      </c>
      <c r="H23" s="7">
        <v>18</v>
      </c>
      <c r="I23" s="7">
        <v>18</v>
      </c>
      <c r="J23" s="50">
        <f>1.06*18</f>
        <v>19.080000000000002</v>
      </c>
      <c r="K23" s="50">
        <f t="shared" ref="K23:AS23" si="31">1.06*18</f>
        <v>19.080000000000002</v>
      </c>
      <c r="L23" s="50">
        <f t="shared" si="31"/>
        <v>19.080000000000002</v>
      </c>
      <c r="M23" s="50">
        <f t="shared" si="31"/>
        <v>19.080000000000002</v>
      </c>
      <c r="N23" s="50">
        <f t="shared" si="31"/>
        <v>19.080000000000002</v>
      </c>
      <c r="O23" s="50">
        <f t="shared" si="31"/>
        <v>19.080000000000002</v>
      </c>
      <c r="P23" s="50">
        <f t="shared" si="31"/>
        <v>19.080000000000002</v>
      </c>
      <c r="Q23" s="50">
        <f t="shared" si="31"/>
        <v>19.080000000000002</v>
      </c>
      <c r="R23" s="50">
        <f t="shared" si="31"/>
        <v>19.080000000000002</v>
      </c>
      <c r="S23" s="50">
        <f t="shared" si="31"/>
        <v>19.080000000000002</v>
      </c>
      <c r="T23" s="50">
        <f t="shared" si="31"/>
        <v>19.080000000000002</v>
      </c>
      <c r="U23" s="50">
        <f t="shared" si="31"/>
        <v>19.080000000000002</v>
      </c>
      <c r="V23" s="50">
        <f t="shared" si="31"/>
        <v>19.080000000000002</v>
      </c>
      <c r="W23" s="50">
        <f t="shared" si="31"/>
        <v>19.080000000000002</v>
      </c>
      <c r="X23" s="50">
        <f t="shared" si="31"/>
        <v>19.080000000000002</v>
      </c>
      <c r="Y23" s="50">
        <f t="shared" si="31"/>
        <v>19.080000000000002</v>
      </c>
      <c r="Z23" s="50">
        <f t="shared" si="31"/>
        <v>19.080000000000002</v>
      </c>
      <c r="AA23" s="50">
        <f t="shared" si="31"/>
        <v>19.080000000000002</v>
      </c>
      <c r="AB23" s="50">
        <f t="shared" si="31"/>
        <v>19.080000000000002</v>
      </c>
      <c r="AC23" s="50">
        <f t="shared" si="31"/>
        <v>19.080000000000002</v>
      </c>
      <c r="AD23" s="50">
        <f t="shared" si="31"/>
        <v>19.080000000000002</v>
      </c>
      <c r="AE23" s="50">
        <f t="shared" si="31"/>
        <v>19.080000000000002</v>
      </c>
      <c r="AF23" s="50">
        <f t="shared" si="31"/>
        <v>19.080000000000002</v>
      </c>
      <c r="AG23" s="50">
        <f t="shared" si="31"/>
        <v>19.080000000000002</v>
      </c>
      <c r="AH23" s="50">
        <f t="shared" si="31"/>
        <v>19.080000000000002</v>
      </c>
      <c r="AI23" s="50">
        <f t="shared" si="31"/>
        <v>19.080000000000002</v>
      </c>
      <c r="AJ23" s="50">
        <f t="shared" si="31"/>
        <v>19.080000000000002</v>
      </c>
      <c r="AK23" s="50">
        <f t="shared" si="31"/>
        <v>19.080000000000002</v>
      </c>
      <c r="AL23" s="50">
        <f t="shared" si="31"/>
        <v>19.080000000000002</v>
      </c>
      <c r="AM23" s="50">
        <f t="shared" si="31"/>
        <v>19.080000000000002</v>
      </c>
      <c r="AN23" s="50">
        <f t="shared" si="31"/>
        <v>19.080000000000002</v>
      </c>
      <c r="AO23" s="50">
        <f t="shared" si="31"/>
        <v>19.080000000000002</v>
      </c>
      <c r="AP23" s="50">
        <f t="shared" si="31"/>
        <v>19.080000000000002</v>
      </c>
      <c r="AQ23" s="50">
        <f t="shared" si="31"/>
        <v>19.080000000000002</v>
      </c>
      <c r="AR23" s="50">
        <f t="shared" si="31"/>
        <v>19.080000000000002</v>
      </c>
      <c r="AS23" s="50">
        <f t="shared" si="31"/>
        <v>19.080000000000002</v>
      </c>
    </row>
    <row r="24" spans="1:45" x14ac:dyDescent="0.2">
      <c r="A24" s="18" t="str">
        <f t="shared" si="17"/>
        <v>ME_IRP23</v>
      </c>
      <c r="B24" s="45" t="s">
        <v>17</v>
      </c>
      <c r="C24" s="45" t="s">
        <v>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f t="shared" ref="AJ24:AS24" si="32">AI24</f>
        <v>0</v>
      </c>
      <c r="AK24" s="49">
        <f t="shared" si="32"/>
        <v>0</v>
      </c>
      <c r="AL24" s="49">
        <f t="shared" si="32"/>
        <v>0</v>
      </c>
      <c r="AM24" s="49">
        <f t="shared" si="32"/>
        <v>0</v>
      </c>
      <c r="AN24" s="49">
        <f t="shared" si="32"/>
        <v>0</v>
      </c>
      <c r="AO24" s="49">
        <f t="shared" si="32"/>
        <v>0</v>
      </c>
      <c r="AP24" s="49">
        <f t="shared" si="32"/>
        <v>0</v>
      </c>
      <c r="AQ24" s="49">
        <f t="shared" si="32"/>
        <v>0</v>
      </c>
      <c r="AR24" s="49">
        <f t="shared" si="32"/>
        <v>0</v>
      </c>
      <c r="AS24" s="49">
        <f t="shared" si="32"/>
        <v>0</v>
      </c>
    </row>
    <row r="25" spans="1:45" x14ac:dyDescent="0.2">
      <c r="A25" s="19" t="str">
        <f t="shared" si="17"/>
        <v>ME_IRP23</v>
      </c>
      <c r="B25" s="46" t="s">
        <v>14</v>
      </c>
      <c r="C25" s="46" t="s">
        <v>6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f t="shared" ref="AJ25:AS25" si="33">AI25</f>
        <v>0</v>
      </c>
      <c r="AK25" s="51">
        <f t="shared" si="33"/>
        <v>0</v>
      </c>
      <c r="AL25" s="51">
        <f t="shared" si="33"/>
        <v>0</v>
      </c>
      <c r="AM25" s="51">
        <f t="shared" si="33"/>
        <v>0</v>
      </c>
      <c r="AN25" s="51">
        <f t="shared" si="33"/>
        <v>0</v>
      </c>
      <c r="AO25" s="51">
        <f t="shared" si="33"/>
        <v>0</v>
      </c>
      <c r="AP25" s="51">
        <f t="shared" si="33"/>
        <v>0</v>
      </c>
      <c r="AQ25" s="51">
        <f t="shared" si="33"/>
        <v>0</v>
      </c>
      <c r="AR25" s="51">
        <f t="shared" si="33"/>
        <v>0</v>
      </c>
      <c r="AS25" s="51">
        <f t="shared" si="33"/>
        <v>0</v>
      </c>
    </row>
    <row r="26" spans="1:45" x14ac:dyDescent="0.2">
      <c r="A26" s="70" t="s">
        <v>27</v>
      </c>
      <c r="B26" s="44" t="s">
        <v>5</v>
      </c>
      <c r="C26" s="44" t="s">
        <v>6</v>
      </c>
      <c r="D26" s="7">
        <v>667.51683700000001</v>
      </c>
      <c r="E26" s="7">
        <v>669.91817549999996</v>
      </c>
      <c r="F26" s="7">
        <v>670.59781769999995</v>
      </c>
      <c r="G26" s="7">
        <v>676.0350866</v>
      </c>
      <c r="H26" s="7">
        <v>680.6389484</v>
      </c>
      <c r="I26" s="7">
        <v>685.52926839999998</v>
      </c>
      <c r="J26" s="24">
        <v>388.87</v>
      </c>
      <c r="K26" s="24">
        <v>404.1</v>
      </c>
      <c r="L26" s="24">
        <v>418.4</v>
      </c>
      <c r="M26" s="24">
        <v>432.19</v>
      </c>
      <c r="N26" s="24">
        <v>446.49</v>
      </c>
      <c r="O26" s="24">
        <v>462.62</v>
      </c>
      <c r="P26" s="24">
        <v>468.14</v>
      </c>
      <c r="Q26" s="24">
        <v>468.5</v>
      </c>
      <c r="R26" s="24">
        <v>473.81</v>
      </c>
      <c r="S26" s="24">
        <v>479.77</v>
      </c>
      <c r="T26" s="24">
        <v>483.6</v>
      </c>
      <c r="U26" s="24">
        <v>487.23</v>
      </c>
      <c r="V26" s="24">
        <v>492.08</v>
      </c>
      <c r="W26" s="24">
        <v>497.73</v>
      </c>
      <c r="X26" s="24">
        <v>504.74</v>
      </c>
      <c r="Y26" s="24">
        <v>509.26</v>
      </c>
      <c r="Z26" s="24">
        <v>505.89</v>
      </c>
      <c r="AA26" s="24">
        <v>514.87</v>
      </c>
      <c r="AB26" s="24">
        <v>519.71</v>
      </c>
      <c r="AC26" s="24">
        <v>523.98</v>
      </c>
      <c r="AD26" s="24">
        <v>526.21</v>
      </c>
      <c r="AE26" s="24">
        <v>525.22</v>
      </c>
      <c r="AF26" s="24">
        <v>532.99</v>
      </c>
      <c r="AG26" s="24">
        <v>536.15</v>
      </c>
      <c r="AH26" s="24">
        <v>540.24</v>
      </c>
      <c r="AI26" s="24">
        <v>543.9</v>
      </c>
      <c r="AJ26" s="24">
        <v>544</v>
      </c>
      <c r="AK26" s="24">
        <v>544</v>
      </c>
      <c r="AL26" s="24">
        <v>544</v>
      </c>
      <c r="AM26" s="24">
        <v>544</v>
      </c>
      <c r="AN26" s="24">
        <v>544</v>
      </c>
      <c r="AO26" s="24">
        <v>544</v>
      </c>
      <c r="AP26" s="24">
        <v>544</v>
      </c>
      <c r="AQ26" s="24">
        <v>544</v>
      </c>
      <c r="AR26" s="24">
        <v>544</v>
      </c>
      <c r="AS26" s="24">
        <v>544</v>
      </c>
    </row>
    <row r="27" spans="1:45" x14ac:dyDescent="0.2">
      <c r="A27" s="70" t="str">
        <f>A26</f>
        <v>HIGH</v>
      </c>
      <c r="B27" s="45" t="s">
        <v>7</v>
      </c>
      <c r="C27" s="45" t="s">
        <v>6</v>
      </c>
      <c r="D27" s="3">
        <v>667.51683700000001</v>
      </c>
      <c r="E27" s="3">
        <v>669.91817549999996</v>
      </c>
      <c r="F27" s="3">
        <v>670.59781769999995</v>
      </c>
      <c r="G27" s="3">
        <v>676.0350866</v>
      </c>
      <c r="H27" s="3">
        <v>680.6389484</v>
      </c>
      <c r="I27" s="3">
        <v>685.52926839999998</v>
      </c>
      <c r="J27" s="24">
        <v>388.87</v>
      </c>
      <c r="K27" s="24">
        <v>404.1</v>
      </c>
      <c r="L27" s="24">
        <v>418.4</v>
      </c>
      <c r="M27" s="24">
        <v>432.19</v>
      </c>
      <c r="N27" s="24">
        <v>446.49</v>
      </c>
      <c r="O27" s="24">
        <v>462.62</v>
      </c>
      <c r="P27" s="24">
        <v>468.14</v>
      </c>
      <c r="Q27" s="24">
        <v>468.5</v>
      </c>
      <c r="R27" s="24">
        <v>473.81</v>
      </c>
      <c r="S27" s="24">
        <v>479.77</v>
      </c>
      <c r="T27" s="24">
        <v>483.6</v>
      </c>
      <c r="U27" s="24">
        <v>487.23</v>
      </c>
      <c r="V27" s="24">
        <v>492.08</v>
      </c>
      <c r="W27" s="24">
        <v>497.73</v>
      </c>
      <c r="X27" s="24">
        <v>504.74</v>
      </c>
      <c r="Y27" s="24">
        <v>509.26</v>
      </c>
      <c r="Z27" s="24">
        <v>505.89</v>
      </c>
      <c r="AA27" s="24">
        <v>514.87</v>
      </c>
      <c r="AB27" s="24">
        <v>519.71</v>
      </c>
      <c r="AC27" s="24">
        <v>523.98</v>
      </c>
      <c r="AD27" s="24">
        <v>526.21</v>
      </c>
      <c r="AE27" s="24">
        <v>525.22</v>
      </c>
      <c r="AF27" s="24">
        <v>532.99</v>
      </c>
      <c r="AG27" s="24">
        <v>536.15</v>
      </c>
      <c r="AH27" s="24">
        <v>540.24</v>
      </c>
      <c r="AI27" s="24">
        <v>543.9</v>
      </c>
      <c r="AJ27" s="24">
        <v>544</v>
      </c>
      <c r="AK27" s="24">
        <v>544</v>
      </c>
      <c r="AL27" s="24">
        <v>544</v>
      </c>
      <c r="AM27" s="24">
        <v>544</v>
      </c>
      <c r="AN27" s="24">
        <v>544</v>
      </c>
      <c r="AO27" s="24">
        <v>544</v>
      </c>
      <c r="AP27" s="24">
        <v>544</v>
      </c>
      <c r="AQ27" s="24">
        <v>544</v>
      </c>
      <c r="AR27" s="24">
        <v>544</v>
      </c>
      <c r="AS27" s="24">
        <v>544</v>
      </c>
    </row>
    <row r="28" spans="1:45" x14ac:dyDescent="0.2">
      <c r="A28" s="70" t="str">
        <f t="shared" ref="A28:A37" si="34">A27</f>
        <v>HIGH</v>
      </c>
      <c r="B28" s="44" t="s">
        <v>8</v>
      </c>
      <c r="C28" s="44" t="s">
        <v>6</v>
      </c>
      <c r="D28" s="7">
        <v>184</v>
      </c>
      <c r="E28" s="7">
        <v>184</v>
      </c>
      <c r="F28" s="7">
        <v>184</v>
      </c>
      <c r="G28" s="7">
        <v>184</v>
      </c>
      <c r="H28" s="7">
        <v>184</v>
      </c>
      <c r="I28" s="7">
        <v>184</v>
      </c>
      <c r="J28" s="14">
        <v>216.16</v>
      </c>
      <c r="K28" s="14">
        <v>225.89</v>
      </c>
      <c r="L28" s="14">
        <v>235.02</v>
      </c>
      <c r="M28" s="14">
        <v>243.83</v>
      </c>
      <c r="N28" s="14">
        <v>252.96</v>
      </c>
      <c r="O28" s="14">
        <v>263.26</v>
      </c>
      <c r="P28" s="14">
        <v>266.77999999999997</v>
      </c>
      <c r="Q28" s="14">
        <v>267.01</v>
      </c>
      <c r="R28" s="14">
        <v>270.39999999999998</v>
      </c>
      <c r="S28" s="14">
        <v>274.20999999999998</v>
      </c>
      <c r="T28" s="14">
        <v>276.66000000000003</v>
      </c>
      <c r="U28" s="14">
        <v>278.98</v>
      </c>
      <c r="V28" s="14">
        <v>282.07</v>
      </c>
      <c r="W28" s="14">
        <v>285.68</v>
      </c>
      <c r="X28" s="14">
        <v>290.16000000000003</v>
      </c>
      <c r="Y28" s="14">
        <v>293.04000000000002</v>
      </c>
      <c r="Z28" s="14">
        <v>290.89999999999998</v>
      </c>
      <c r="AA28" s="14">
        <v>296.63</v>
      </c>
      <c r="AB28" s="14">
        <v>299.72000000000003</v>
      </c>
      <c r="AC28" s="14">
        <v>302.45</v>
      </c>
      <c r="AD28" s="14">
        <v>303.87</v>
      </c>
      <c r="AE28" s="14">
        <v>303.24</v>
      </c>
      <c r="AF28" s="14">
        <v>308.2</v>
      </c>
      <c r="AG28" s="14">
        <v>310.22000000000003</v>
      </c>
      <c r="AH28" s="14">
        <v>312.83</v>
      </c>
      <c r="AI28" s="14">
        <v>315.17</v>
      </c>
      <c r="AJ28" s="14">
        <v>315</v>
      </c>
      <c r="AK28" s="14">
        <v>315</v>
      </c>
      <c r="AL28" s="14">
        <v>315</v>
      </c>
      <c r="AM28" s="14">
        <v>315</v>
      </c>
      <c r="AN28" s="14">
        <v>315</v>
      </c>
      <c r="AO28" s="14">
        <v>315</v>
      </c>
      <c r="AP28" s="14">
        <v>315</v>
      </c>
      <c r="AQ28" s="14">
        <v>315</v>
      </c>
      <c r="AR28" s="14">
        <v>315</v>
      </c>
      <c r="AS28" s="14">
        <v>315</v>
      </c>
    </row>
    <row r="29" spans="1:45" x14ac:dyDescent="0.2">
      <c r="A29" s="70" t="str">
        <f t="shared" si="34"/>
        <v>HIGH</v>
      </c>
      <c r="B29" s="45" t="s">
        <v>9</v>
      </c>
      <c r="C29" s="45" t="s">
        <v>6</v>
      </c>
      <c r="D29" s="3">
        <v>184</v>
      </c>
      <c r="E29" s="3">
        <v>184</v>
      </c>
      <c r="F29" s="3">
        <v>184</v>
      </c>
      <c r="G29" s="3">
        <v>184</v>
      </c>
      <c r="H29" s="3">
        <v>184</v>
      </c>
      <c r="I29" s="3">
        <v>184</v>
      </c>
      <c r="J29" s="14">
        <f>J28</f>
        <v>216.16</v>
      </c>
      <c r="K29" s="14">
        <f t="shared" ref="K29:X29" si="35">K28</f>
        <v>225.89</v>
      </c>
      <c r="L29" s="14">
        <f t="shared" si="35"/>
        <v>235.02</v>
      </c>
      <c r="M29" s="14">
        <f t="shared" si="35"/>
        <v>243.83</v>
      </c>
      <c r="N29" s="14">
        <f t="shared" si="35"/>
        <v>252.96</v>
      </c>
      <c r="O29" s="14">
        <f t="shared" si="35"/>
        <v>263.26</v>
      </c>
      <c r="P29" s="14">
        <f t="shared" si="35"/>
        <v>266.77999999999997</v>
      </c>
      <c r="Q29" s="14">
        <f t="shared" si="35"/>
        <v>267.01</v>
      </c>
      <c r="R29" s="14">
        <f t="shared" si="35"/>
        <v>270.39999999999998</v>
      </c>
      <c r="S29" s="14">
        <f t="shared" si="35"/>
        <v>274.20999999999998</v>
      </c>
      <c r="T29" s="14">
        <f t="shared" si="35"/>
        <v>276.66000000000003</v>
      </c>
      <c r="U29" s="14">
        <f t="shared" si="35"/>
        <v>278.98</v>
      </c>
      <c r="V29" s="14">
        <f t="shared" si="35"/>
        <v>282.07</v>
      </c>
      <c r="W29" s="14">
        <f t="shared" si="35"/>
        <v>285.68</v>
      </c>
      <c r="X29" s="14">
        <f t="shared" si="35"/>
        <v>290.16000000000003</v>
      </c>
      <c r="Y29" s="24">
        <v>509</v>
      </c>
      <c r="Z29" s="24">
        <v>506</v>
      </c>
      <c r="AA29" s="24">
        <v>515</v>
      </c>
      <c r="AB29" s="24">
        <v>520</v>
      </c>
      <c r="AC29" s="24">
        <v>524</v>
      </c>
      <c r="AD29" s="24">
        <v>526</v>
      </c>
      <c r="AE29" s="24">
        <v>525</v>
      </c>
      <c r="AF29" s="24">
        <v>533</v>
      </c>
      <c r="AG29" s="24">
        <v>536</v>
      </c>
      <c r="AH29" s="24">
        <v>540</v>
      </c>
      <c r="AI29" s="24">
        <v>544</v>
      </c>
      <c r="AJ29" s="24">
        <v>544</v>
      </c>
      <c r="AK29" s="24">
        <v>544</v>
      </c>
      <c r="AL29" s="24">
        <v>544</v>
      </c>
      <c r="AM29" s="24">
        <v>544</v>
      </c>
      <c r="AN29" s="24">
        <v>544</v>
      </c>
      <c r="AO29" s="24">
        <v>544</v>
      </c>
      <c r="AP29" s="24">
        <v>544</v>
      </c>
      <c r="AQ29" s="24">
        <v>544</v>
      </c>
      <c r="AR29" s="24">
        <v>544</v>
      </c>
      <c r="AS29" s="24">
        <v>544</v>
      </c>
    </row>
    <row r="30" spans="1:45" x14ac:dyDescent="0.2">
      <c r="A30" s="70" t="str">
        <f t="shared" si="34"/>
        <v>HIGH</v>
      </c>
      <c r="B30" s="44" t="s">
        <v>10</v>
      </c>
      <c r="C30" s="44" t="s">
        <v>6</v>
      </c>
      <c r="D30" s="7">
        <v>184</v>
      </c>
      <c r="E30" s="7">
        <v>184</v>
      </c>
      <c r="F30" s="7">
        <v>184</v>
      </c>
      <c r="G30" s="7">
        <v>184</v>
      </c>
      <c r="H30" s="7">
        <v>184</v>
      </c>
      <c r="I30" s="7">
        <v>184</v>
      </c>
      <c r="J30" s="14">
        <f>J28</f>
        <v>216.16</v>
      </c>
      <c r="K30" s="14">
        <f t="shared" ref="K30:AC30" si="36">K28</f>
        <v>225.89</v>
      </c>
      <c r="L30" s="14">
        <f t="shared" si="36"/>
        <v>235.02</v>
      </c>
      <c r="M30" s="14">
        <f t="shared" si="36"/>
        <v>243.83</v>
      </c>
      <c r="N30" s="14">
        <f t="shared" si="36"/>
        <v>252.96</v>
      </c>
      <c r="O30" s="14">
        <f t="shared" si="36"/>
        <v>263.26</v>
      </c>
      <c r="P30" s="14">
        <f t="shared" si="36"/>
        <v>266.77999999999997</v>
      </c>
      <c r="Q30" s="14">
        <f t="shared" si="36"/>
        <v>267.01</v>
      </c>
      <c r="R30" s="14">
        <f t="shared" si="36"/>
        <v>270.39999999999998</v>
      </c>
      <c r="S30" s="14">
        <f t="shared" si="36"/>
        <v>274.20999999999998</v>
      </c>
      <c r="T30" s="14">
        <f t="shared" si="36"/>
        <v>276.66000000000003</v>
      </c>
      <c r="U30" s="14">
        <f t="shared" si="36"/>
        <v>278.98</v>
      </c>
      <c r="V30" s="14">
        <f t="shared" si="36"/>
        <v>282.07</v>
      </c>
      <c r="W30" s="14">
        <f t="shared" si="36"/>
        <v>285.68</v>
      </c>
      <c r="X30" s="14">
        <f t="shared" si="36"/>
        <v>290.16000000000003</v>
      </c>
      <c r="Y30" s="14">
        <f t="shared" si="36"/>
        <v>293.04000000000002</v>
      </c>
      <c r="Z30" s="14">
        <f t="shared" si="36"/>
        <v>290.89999999999998</v>
      </c>
      <c r="AA30" s="14">
        <f t="shared" si="36"/>
        <v>296.63</v>
      </c>
      <c r="AB30" s="14">
        <f t="shared" si="36"/>
        <v>299.72000000000003</v>
      </c>
      <c r="AC30" s="14">
        <f t="shared" si="36"/>
        <v>302.45</v>
      </c>
      <c r="AD30" s="25">
        <v>526</v>
      </c>
      <c r="AE30" s="25">
        <v>525</v>
      </c>
      <c r="AF30" s="25">
        <v>533</v>
      </c>
      <c r="AG30" s="25">
        <v>536</v>
      </c>
      <c r="AH30" s="25">
        <v>540</v>
      </c>
      <c r="AI30" s="25">
        <v>544</v>
      </c>
      <c r="AJ30" s="25">
        <v>544</v>
      </c>
      <c r="AK30" s="25">
        <v>544</v>
      </c>
      <c r="AL30" s="25">
        <v>544</v>
      </c>
      <c r="AM30" s="25">
        <v>544</v>
      </c>
      <c r="AN30" s="25">
        <v>544</v>
      </c>
      <c r="AO30" s="25">
        <v>544</v>
      </c>
      <c r="AP30" s="25">
        <v>544</v>
      </c>
      <c r="AQ30" s="25">
        <v>544</v>
      </c>
      <c r="AR30" s="25">
        <v>544</v>
      </c>
      <c r="AS30" s="25">
        <v>544</v>
      </c>
    </row>
    <row r="31" spans="1:45" x14ac:dyDescent="0.2">
      <c r="A31" s="70" t="str">
        <f t="shared" si="34"/>
        <v>HIGH</v>
      </c>
      <c r="B31" s="45" t="s">
        <v>11</v>
      </c>
      <c r="C31" s="45" t="s">
        <v>6</v>
      </c>
      <c r="D31" s="3">
        <v>184</v>
      </c>
      <c r="E31" s="3">
        <v>184</v>
      </c>
      <c r="F31" s="3">
        <v>184</v>
      </c>
      <c r="G31" s="3">
        <v>184</v>
      </c>
      <c r="H31" s="3">
        <v>184</v>
      </c>
      <c r="I31" s="3">
        <v>184</v>
      </c>
      <c r="J31" s="14">
        <f>J28</f>
        <v>216.16</v>
      </c>
      <c r="K31" s="14">
        <f t="shared" ref="K31:AH31" si="37">K28</f>
        <v>225.89</v>
      </c>
      <c r="L31" s="14">
        <f t="shared" si="37"/>
        <v>235.02</v>
      </c>
      <c r="M31" s="14">
        <f t="shared" si="37"/>
        <v>243.83</v>
      </c>
      <c r="N31" s="14">
        <f t="shared" si="37"/>
        <v>252.96</v>
      </c>
      <c r="O31" s="14">
        <f t="shared" si="37"/>
        <v>263.26</v>
      </c>
      <c r="P31" s="14">
        <f t="shared" si="37"/>
        <v>266.77999999999997</v>
      </c>
      <c r="Q31" s="14">
        <f t="shared" si="37"/>
        <v>267.01</v>
      </c>
      <c r="R31" s="14">
        <f t="shared" si="37"/>
        <v>270.39999999999998</v>
      </c>
      <c r="S31" s="14">
        <f t="shared" si="37"/>
        <v>274.20999999999998</v>
      </c>
      <c r="T31" s="14">
        <f t="shared" si="37"/>
        <v>276.66000000000003</v>
      </c>
      <c r="U31" s="14">
        <f t="shared" si="37"/>
        <v>278.98</v>
      </c>
      <c r="V31" s="14">
        <f t="shared" si="37"/>
        <v>282.07</v>
      </c>
      <c r="W31" s="14">
        <f t="shared" si="37"/>
        <v>285.68</v>
      </c>
      <c r="X31" s="14">
        <f t="shared" si="37"/>
        <v>290.16000000000003</v>
      </c>
      <c r="Y31" s="14">
        <f t="shared" si="37"/>
        <v>293.04000000000002</v>
      </c>
      <c r="Z31" s="14">
        <f t="shared" si="37"/>
        <v>290.89999999999998</v>
      </c>
      <c r="AA31" s="14">
        <f t="shared" si="37"/>
        <v>296.63</v>
      </c>
      <c r="AB31" s="14">
        <f t="shared" si="37"/>
        <v>299.72000000000003</v>
      </c>
      <c r="AC31" s="14">
        <f t="shared" si="37"/>
        <v>302.45</v>
      </c>
      <c r="AD31" s="14">
        <f t="shared" si="37"/>
        <v>303.87</v>
      </c>
      <c r="AE31" s="14">
        <f t="shared" si="37"/>
        <v>303.24</v>
      </c>
      <c r="AF31" s="14">
        <f t="shared" si="37"/>
        <v>308.2</v>
      </c>
      <c r="AG31" s="14">
        <f t="shared" si="37"/>
        <v>310.22000000000003</v>
      </c>
      <c r="AH31" s="14">
        <f t="shared" si="37"/>
        <v>312.83</v>
      </c>
      <c r="AI31" s="24">
        <v>544</v>
      </c>
      <c r="AJ31" s="24">
        <v>544</v>
      </c>
      <c r="AK31" s="24">
        <v>544</v>
      </c>
      <c r="AL31" s="24">
        <v>544</v>
      </c>
      <c r="AM31" s="24">
        <v>544</v>
      </c>
      <c r="AN31" s="24">
        <v>544</v>
      </c>
      <c r="AO31" s="24">
        <v>544</v>
      </c>
      <c r="AP31" s="24">
        <v>544</v>
      </c>
      <c r="AQ31" s="24">
        <v>544</v>
      </c>
      <c r="AR31" s="24">
        <v>544</v>
      </c>
      <c r="AS31" s="24">
        <v>544</v>
      </c>
    </row>
    <row r="32" spans="1:45" x14ac:dyDescent="0.2">
      <c r="A32" s="70" t="str">
        <f t="shared" si="34"/>
        <v>HIGH</v>
      </c>
      <c r="B32" s="44" t="s">
        <v>12</v>
      </c>
      <c r="C32" s="44" t="s">
        <v>6</v>
      </c>
      <c r="D32" s="7">
        <v>184</v>
      </c>
      <c r="E32" s="7">
        <v>184</v>
      </c>
      <c r="F32" s="7">
        <v>184</v>
      </c>
      <c r="G32" s="7">
        <v>184</v>
      </c>
      <c r="H32" s="7">
        <v>184</v>
      </c>
      <c r="I32" s="7">
        <v>184</v>
      </c>
      <c r="J32" s="14">
        <f>J28</f>
        <v>216.16</v>
      </c>
      <c r="K32" s="14">
        <f t="shared" ref="K32:AM32" si="38">K28</f>
        <v>225.89</v>
      </c>
      <c r="L32" s="14">
        <f t="shared" si="38"/>
        <v>235.02</v>
      </c>
      <c r="M32" s="14">
        <f t="shared" si="38"/>
        <v>243.83</v>
      </c>
      <c r="N32" s="14">
        <f t="shared" si="38"/>
        <v>252.96</v>
      </c>
      <c r="O32" s="14">
        <f t="shared" si="38"/>
        <v>263.26</v>
      </c>
      <c r="P32" s="14">
        <f t="shared" si="38"/>
        <v>266.77999999999997</v>
      </c>
      <c r="Q32" s="14">
        <f t="shared" si="38"/>
        <v>267.01</v>
      </c>
      <c r="R32" s="14">
        <f t="shared" si="38"/>
        <v>270.39999999999998</v>
      </c>
      <c r="S32" s="14">
        <f t="shared" si="38"/>
        <v>274.20999999999998</v>
      </c>
      <c r="T32" s="14">
        <f t="shared" si="38"/>
        <v>276.66000000000003</v>
      </c>
      <c r="U32" s="14">
        <f t="shared" si="38"/>
        <v>278.98</v>
      </c>
      <c r="V32" s="14">
        <f t="shared" si="38"/>
        <v>282.07</v>
      </c>
      <c r="W32" s="14">
        <f t="shared" si="38"/>
        <v>285.68</v>
      </c>
      <c r="X32" s="14">
        <f t="shared" si="38"/>
        <v>290.16000000000003</v>
      </c>
      <c r="Y32" s="14">
        <f t="shared" si="38"/>
        <v>293.04000000000002</v>
      </c>
      <c r="Z32" s="14">
        <f t="shared" si="38"/>
        <v>290.89999999999998</v>
      </c>
      <c r="AA32" s="14">
        <f t="shared" si="38"/>
        <v>296.63</v>
      </c>
      <c r="AB32" s="14">
        <f t="shared" si="38"/>
        <v>299.72000000000003</v>
      </c>
      <c r="AC32" s="14">
        <f t="shared" si="38"/>
        <v>302.45</v>
      </c>
      <c r="AD32" s="14">
        <f t="shared" si="38"/>
        <v>303.87</v>
      </c>
      <c r="AE32" s="14">
        <f t="shared" si="38"/>
        <v>303.24</v>
      </c>
      <c r="AF32" s="14">
        <f t="shared" si="38"/>
        <v>308.2</v>
      </c>
      <c r="AG32" s="14">
        <f t="shared" si="38"/>
        <v>310.22000000000003</v>
      </c>
      <c r="AH32" s="14">
        <f t="shared" si="38"/>
        <v>312.83</v>
      </c>
      <c r="AI32" s="14">
        <f t="shared" si="38"/>
        <v>315.17</v>
      </c>
      <c r="AJ32" s="14">
        <f t="shared" si="38"/>
        <v>315</v>
      </c>
      <c r="AK32" s="14">
        <f t="shared" si="38"/>
        <v>315</v>
      </c>
      <c r="AL32" s="14">
        <f t="shared" si="38"/>
        <v>315</v>
      </c>
      <c r="AM32" s="14">
        <f t="shared" si="38"/>
        <v>315</v>
      </c>
      <c r="AN32" s="25">
        <v>544</v>
      </c>
      <c r="AO32" s="25">
        <v>544</v>
      </c>
      <c r="AP32" s="25">
        <v>544</v>
      </c>
      <c r="AQ32" s="25">
        <v>544</v>
      </c>
      <c r="AR32" s="25">
        <v>544</v>
      </c>
      <c r="AS32" s="25">
        <v>544</v>
      </c>
    </row>
    <row r="33" spans="1:45" x14ac:dyDescent="0.2">
      <c r="A33" s="70" t="str">
        <f t="shared" si="34"/>
        <v>HIGH</v>
      </c>
      <c r="B33" s="45" t="s">
        <v>13</v>
      </c>
      <c r="C33" s="45" t="s">
        <v>6</v>
      </c>
      <c r="D33" s="3">
        <v>184</v>
      </c>
      <c r="E33" s="3">
        <v>184</v>
      </c>
      <c r="F33" s="3">
        <v>184</v>
      </c>
      <c r="G33" s="3">
        <v>184</v>
      </c>
      <c r="H33" s="3">
        <v>184</v>
      </c>
      <c r="I33" s="3">
        <v>184</v>
      </c>
      <c r="J33" s="14">
        <f>J28</f>
        <v>216.16</v>
      </c>
      <c r="K33" s="14">
        <f t="shared" ref="K33:X33" si="39">K28</f>
        <v>225.89</v>
      </c>
      <c r="L33" s="14">
        <f t="shared" si="39"/>
        <v>235.02</v>
      </c>
      <c r="M33" s="14">
        <f t="shared" si="39"/>
        <v>243.83</v>
      </c>
      <c r="N33" s="14">
        <f t="shared" si="39"/>
        <v>252.96</v>
      </c>
      <c r="O33" s="14">
        <f t="shared" si="39"/>
        <v>263.26</v>
      </c>
      <c r="P33" s="14">
        <f t="shared" si="39"/>
        <v>266.77999999999997</v>
      </c>
      <c r="Q33" s="14">
        <f t="shared" si="39"/>
        <v>267.01</v>
      </c>
      <c r="R33" s="14">
        <f t="shared" si="39"/>
        <v>270.39999999999998</v>
      </c>
      <c r="S33" s="14">
        <f t="shared" si="39"/>
        <v>274.20999999999998</v>
      </c>
      <c r="T33" s="14">
        <f t="shared" si="39"/>
        <v>276.66000000000003</v>
      </c>
      <c r="U33" s="14">
        <f t="shared" si="39"/>
        <v>278.98</v>
      </c>
      <c r="V33" s="14">
        <f t="shared" si="39"/>
        <v>282.07</v>
      </c>
      <c r="W33" s="14">
        <f t="shared" si="39"/>
        <v>285.68</v>
      </c>
      <c r="X33" s="14">
        <f t="shared" si="39"/>
        <v>290.16000000000003</v>
      </c>
      <c r="Y33" s="14">
        <f t="shared" ref="Y33:AR33" si="40">Y28</f>
        <v>293.04000000000002</v>
      </c>
      <c r="Z33" s="14">
        <f t="shared" si="40"/>
        <v>290.89999999999998</v>
      </c>
      <c r="AA33" s="14">
        <f t="shared" si="40"/>
        <v>296.63</v>
      </c>
      <c r="AB33" s="14">
        <f t="shared" si="40"/>
        <v>299.72000000000003</v>
      </c>
      <c r="AC33" s="14">
        <f t="shared" si="40"/>
        <v>302.45</v>
      </c>
      <c r="AD33" s="14">
        <f t="shared" si="40"/>
        <v>303.87</v>
      </c>
      <c r="AE33" s="14">
        <f t="shared" si="40"/>
        <v>303.24</v>
      </c>
      <c r="AF33" s="14">
        <f t="shared" si="40"/>
        <v>308.2</v>
      </c>
      <c r="AG33" s="14">
        <f t="shared" si="40"/>
        <v>310.22000000000003</v>
      </c>
      <c r="AH33" s="14">
        <f t="shared" si="40"/>
        <v>312.83</v>
      </c>
      <c r="AI33" s="14">
        <f t="shared" si="40"/>
        <v>315.17</v>
      </c>
      <c r="AJ33" s="14">
        <f t="shared" si="40"/>
        <v>315</v>
      </c>
      <c r="AK33" s="14">
        <f t="shared" si="40"/>
        <v>315</v>
      </c>
      <c r="AL33" s="14">
        <f t="shared" si="40"/>
        <v>315</v>
      </c>
      <c r="AM33" s="14">
        <f t="shared" si="40"/>
        <v>315</v>
      </c>
      <c r="AN33" s="14">
        <f t="shared" si="40"/>
        <v>315</v>
      </c>
      <c r="AO33" s="14">
        <f t="shared" si="40"/>
        <v>315</v>
      </c>
      <c r="AP33" s="14">
        <f t="shared" si="40"/>
        <v>315</v>
      </c>
      <c r="AQ33" s="14">
        <f t="shared" si="40"/>
        <v>315</v>
      </c>
      <c r="AR33" s="14">
        <f t="shared" si="40"/>
        <v>315</v>
      </c>
      <c r="AS33" s="24">
        <v>544</v>
      </c>
    </row>
    <row r="34" spans="1:45" x14ac:dyDescent="0.2">
      <c r="A34" s="70" t="str">
        <f t="shared" si="34"/>
        <v>HIGH</v>
      </c>
      <c r="B34" s="45" t="s">
        <v>15</v>
      </c>
      <c r="C34" s="45" t="s">
        <v>6</v>
      </c>
      <c r="D34" s="3">
        <v>45.18</v>
      </c>
      <c r="E34" s="3">
        <v>45.18</v>
      </c>
      <c r="F34" s="3">
        <v>45.18</v>
      </c>
      <c r="G34" s="3">
        <v>45.18</v>
      </c>
      <c r="H34" s="3">
        <v>45.18</v>
      </c>
      <c r="I34" s="3">
        <v>45.18</v>
      </c>
      <c r="J34" s="49">
        <v>45</v>
      </c>
      <c r="K34" s="49">
        <v>45</v>
      </c>
      <c r="L34" s="49">
        <v>45</v>
      </c>
      <c r="M34" s="49">
        <v>45</v>
      </c>
      <c r="N34" s="49">
        <v>45</v>
      </c>
      <c r="O34" s="49">
        <v>45</v>
      </c>
      <c r="P34" s="49">
        <v>45</v>
      </c>
      <c r="Q34" s="49">
        <v>45</v>
      </c>
      <c r="R34" s="49">
        <v>45</v>
      </c>
      <c r="S34" s="49">
        <v>45</v>
      </c>
      <c r="T34" s="49">
        <v>45</v>
      </c>
      <c r="U34" s="49">
        <v>45</v>
      </c>
      <c r="V34" s="49">
        <v>45</v>
      </c>
      <c r="W34" s="49">
        <v>45</v>
      </c>
      <c r="X34" s="49">
        <v>45</v>
      </c>
      <c r="Y34" s="49">
        <v>45</v>
      </c>
      <c r="Z34" s="49">
        <v>45</v>
      </c>
      <c r="AA34" s="49">
        <v>45</v>
      </c>
      <c r="AB34" s="49">
        <v>45</v>
      </c>
      <c r="AC34" s="49">
        <v>45</v>
      </c>
      <c r="AD34" s="49">
        <v>45</v>
      </c>
      <c r="AE34" s="49">
        <v>45</v>
      </c>
      <c r="AF34" s="49">
        <v>45</v>
      </c>
      <c r="AG34" s="49">
        <v>45</v>
      </c>
      <c r="AH34" s="49">
        <v>45</v>
      </c>
      <c r="AI34" s="49">
        <v>45</v>
      </c>
      <c r="AJ34" s="49">
        <v>45</v>
      </c>
      <c r="AK34" s="49">
        <v>45</v>
      </c>
      <c r="AL34" s="49">
        <v>45</v>
      </c>
      <c r="AM34" s="49">
        <v>45</v>
      </c>
      <c r="AN34" s="49">
        <v>45</v>
      </c>
      <c r="AO34" s="49">
        <v>45</v>
      </c>
      <c r="AP34" s="49">
        <v>45</v>
      </c>
      <c r="AQ34" s="49">
        <v>45</v>
      </c>
      <c r="AR34" s="49">
        <v>45</v>
      </c>
      <c r="AS34" s="49">
        <v>45</v>
      </c>
    </row>
    <row r="35" spans="1:45" x14ac:dyDescent="0.2">
      <c r="A35" s="70" t="str">
        <f t="shared" si="34"/>
        <v>HIGH</v>
      </c>
      <c r="B35" s="44" t="s">
        <v>16</v>
      </c>
      <c r="C35" s="44" t="s">
        <v>6</v>
      </c>
      <c r="D35" s="7">
        <v>18</v>
      </c>
      <c r="E35" s="7">
        <v>18</v>
      </c>
      <c r="F35" s="7">
        <v>18</v>
      </c>
      <c r="G35" s="7">
        <v>18</v>
      </c>
      <c r="H35" s="7">
        <v>18</v>
      </c>
      <c r="I35" s="7">
        <v>18</v>
      </c>
      <c r="J35" s="50">
        <v>18</v>
      </c>
      <c r="K35" s="50">
        <v>18</v>
      </c>
      <c r="L35" s="50">
        <v>18</v>
      </c>
      <c r="M35" s="50">
        <v>18</v>
      </c>
      <c r="N35" s="50">
        <v>18</v>
      </c>
      <c r="O35" s="50">
        <v>18</v>
      </c>
      <c r="P35" s="50">
        <v>18</v>
      </c>
      <c r="Q35" s="50">
        <v>18</v>
      </c>
      <c r="R35" s="50">
        <v>18</v>
      </c>
      <c r="S35" s="50">
        <v>18</v>
      </c>
      <c r="T35" s="50">
        <v>18</v>
      </c>
      <c r="U35" s="50">
        <v>18</v>
      </c>
      <c r="V35" s="50">
        <v>18</v>
      </c>
      <c r="W35" s="50">
        <v>18</v>
      </c>
      <c r="X35" s="50">
        <v>18</v>
      </c>
      <c r="Y35" s="50">
        <v>18</v>
      </c>
      <c r="Z35" s="50">
        <v>18</v>
      </c>
      <c r="AA35" s="50">
        <v>18</v>
      </c>
      <c r="AB35" s="50">
        <v>18</v>
      </c>
      <c r="AC35" s="50">
        <v>18</v>
      </c>
      <c r="AD35" s="50">
        <v>18</v>
      </c>
      <c r="AE35" s="50">
        <v>18</v>
      </c>
      <c r="AF35" s="50">
        <v>18</v>
      </c>
      <c r="AG35" s="50">
        <v>18</v>
      </c>
      <c r="AH35" s="50">
        <v>18</v>
      </c>
      <c r="AI35" s="50">
        <v>18</v>
      </c>
      <c r="AJ35" s="50">
        <v>18</v>
      </c>
      <c r="AK35" s="50">
        <v>18</v>
      </c>
      <c r="AL35" s="50">
        <v>18</v>
      </c>
      <c r="AM35" s="50">
        <v>18</v>
      </c>
      <c r="AN35" s="50">
        <v>18</v>
      </c>
      <c r="AO35" s="50">
        <v>18</v>
      </c>
      <c r="AP35" s="50">
        <v>18</v>
      </c>
      <c r="AQ35" s="50">
        <v>18</v>
      </c>
      <c r="AR35" s="50">
        <v>18</v>
      </c>
      <c r="AS35" s="50">
        <v>18</v>
      </c>
    </row>
    <row r="36" spans="1:45" x14ac:dyDescent="0.2">
      <c r="A36" s="70" t="str">
        <f t="shared" si="34"/>
        <v>HIGH</v>
      </c>
      <c r="B36" s="45" t="s">
        <v>17</v>
      </c>
      <c r="C36" s="45" t="s">
        <v>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49">
        <v>0</v>
      </c>
      <c r="K36" s="49">
        <v>0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</v>
      </c>
      <c r="X36" s="49">
        <v>0</v>
      </c>
      <c r="Y36" s="49">
        <v>0</v>
      </c>
      <c r="Z36" s="49">
        <v>0</v>
      </c>
      <c r="AA36" s="49">
        <v>0</v>
      </c>
      <c r="AB36" s="49">
        <v>0</v>
      </c>
      <c r="AC36" s="49">
        <v>0</v>
      </c>
      <c r="AD36" s="49">
        <v>0</v>
      </c>
      <c r="AE36" s="49">
        <v>0</v>
      </c>
      <c r="AF36" s="49">
        <v>0</v>
      </c>
      <c r="AG36" s="49">
        <v>0</v>
      </c>
      <c r="AH36" s="49">
        <v>0</v>
      </c>
      <c r="AI36" s="49">
        <v>0</v>
      </c>
      <c r="AJ36" s="49">
        <v>0</v>
      </c>
      <c r="AK36" s="49">
        <v>0</v>
      </c>
      <c r="AL36" s="49">
        <v>0</v>
      </c>
      <c r="AM36" s="49">
        <v>0</v>
      </c>
      <c r="AN36" s="49">
        <v>0</v>
      </c>
      <c r="AO36" s="49">
        <v>0</v>
      </c>
      <c r="AP36" s="49">
        <v>0</v>
      </c>
      <c r="AQ36" s="49">
        <v>0</v>
      </c>
      <c r="AR36" s="49">
        <v>0</v>
      </c>
      <c r="AS36" s="49">
        <v>0</v>
      </c>
    </row>
    <row r="37" spans="1:45" x14ac:dyDescent="0.2">
      <c r="A37" s="70" t="str">
        <f t="shared" si="34"/>
        <v>HIGH</v>
      </c>
      <c r="B37" s="46" t="s">
        <v>14</v>
      </c>
      <c r="C37" s="46" t="s">
        <v>6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</row>
    <row r="38" spans="1:45" x14ac:dyDescent="0.2">
      <c r="A38" s="71" t="s">
        <v>26</v>
      </c>
      <c r="B38" s="45" t="s">
        <v>5</v>
      </c>
      <c r="C38" s="45" t="s">
        <v>6</v>
      </c>
      <c r="D38" s="3">
        <v>506.07771300000002</v>
      </c>
      <c r="E38" s="3">
        <v>509.25356820000002</v>
      </c>
      <c r="F38" s="3">
        <v>510.86624319999999</v>
      </c>
      <c r="G38" s="3">
        <v>513.04640219999999</v>
      </c>
      <c r="H38" s="3">
        <v>515.2993778</v>
      </c>
      <c r="I38" s="3">
        <v>517.93450080000002</v>
      </c>
      <c r="J38" s="26">
        <v>388.87</v>
      </c>
      <c r="K38" s="26">
        <v>388.6</v>
      </c>
      <c r="L38" s="26">
        <v>386.77</v>
      </c>
      <c r="M38" s="26">
        <v>384.37</v>
      </c>
      <c r="N38" s="26">
        <v>382.13</v>
      </c>
      <c r="O38" s="26">
        <v>381.53</v>
      </c>
      <c r="P38" s="26">
        <v>383.6</v>
      </c>
      <c r="Q38" s="26">
        <v>381.66</v>
      </c>
      <c r="R38" s="26">
        <v>386.9</v>
      </c>
      <c r="S38" s="26">
        <v>389.56</v>
      </c>
      <c r="T38" s="26">
        <v>390.76</v>
      </c>
      <c r="U38" s="26">
        <v>391.8</v>
      </c>
      <c r="V38" s="26">
        <v>394.01</v>
      </c>
      <c r="W38" s="26">
        <v>395.09</v>
      </c>
      <c r="X38" s="26">
        <v>397.38</v>
      </c>
      <c r="Y38" s="26">
        <v>399.25</v>
      </c>
      <c r="Z38" s="26">
        <v>400.63</v>
      </c>
      <c r="AA38" s="26">
        <v>400.03</v>
      </c>
      <c r="AB38" s="26">
        <v>404.73</v>
      </c>
      <c r="AC38" s="26">
        <v>404.67</v>
      </c>
      <c r="AD38" s="26">
        <v>406.38</v>
      </c>
      <c r="AE38" s="26">
        <v>408.01</v>
      </c>
      <c r="AF38" s="26">
        <v>417.44</v>
      </c>
      <c r="AG38" s="26">
        <v>419.63</v>
      </c>
      <c r="AH38" s="26">
        <v>422.8</v>
      </c>
      <c r="AI38" s="26">
        <v>424.07</v>
      </c>
      <c r="AJ38" s="27">
        <v>424</v>
      </c>
      <c r="AK38" s="27">
        <v>424</v>
      </c>
      <c r="AL38" s="27">
        <v>424</v>
      </c>
      <c r="AM38" s="27">
        <v>424</v>
      </c>
      <c r="AN38" s="27">
        <v>424</v>
      </c>
      <c r="AO38" s="27">
        <v>424</v>
      </c>
      <c r="AP38" s="27">
        <v>424</v>
      </c>
      <c r="AQ38" s="27">
        <v>424</v>
      </c>
      <c r="AR38" s="27">
        <v>424</v>
      </c>
      <c r="AS38" s="27">
        <v>424</v>
      </c>
    </row>
    <row r="39" spans="1:45" x14ac:dyDescent="0.2">
      <c r="A39" s="71" t="str">
        <f>A38</f>
        <v>BASE</v>
      </c>
      <c r="B39" s="44" t="s">
        <v>7</v>
      </c>
      <c r="C39" s="44" t="s">
        <v>6</v>
      </c>
      <c r="D39" s="7">
        <v>506.07771300000002</v>
      </c>
      <c r="E39" s="7">
        <v>509.25356820000002</v>
      </c>
      <c r="F39" s="7">
        <v>510.86624319999999</v>
      </c>
      <c r="G39" s="7">
        <v>513.04640219999999</v>
      </c>
      <c r="H39" s="7">
        <v>515.2993778</v>
      </c>
      <c r="I39" s="7">
        <v>517.93450080000002</v>
      </c>
      <c r="J39" s="26">
        <f>J38</f>
        <v>388.87</v>
      </c>
      <c r="K39" s="26">
        <f t="shared" ref="K39:AS39" si="41">K38</f>
        <v>388.6</v>
      </c>
      <c r="L39" s="26">
        <f t="shared" si="41"/>
        <v>386.77</v>
      </c>
      <c r="M39" s="26">
        <f t="shared" si="41"/>
        <v>384.37</v>
      </c>
      <c r="N39" s="26">
        <f t="shared" si="41"/>
        <v>382.13</v>
      </c>
      <c r="O39" s="26">
        <f t="shared" si="41"/>
        <v>381.53</v>
      </c>
      <c r="P39" s="26">
        <f t="shared" si="41"/>
        <v>383.6</v>
      </c>
      <c r="Q39" s="26">
        <f t="shared" si="41"/>
        <v>381.66</v>
      </c>
      <c r="R39" s="26">
        <f t="shared" si="41"/>
        <v>386.9</v>
      </c>
      <c r="S39" s="26">
        <f t="shared" si="41"/>
        <v>389.56</v>
      </c>
      <c r="T39" s="26">
        <f t="shared" si="41"/>
        <v>390.76</v>
      </c>
      <c r="U39" s="26">
        <f t="shared" si="41"/>
        <v>391.8</v>
      </c>
      <c r="V39" s="26">
        <f t="shared" si="41"/>
        <v>394.01</v>
      </c>
      <c r="W39" s="26">
        <f t="shared" si="41"/>
        <v>395.09</v>
      </c>
      <c r="X39" s="26">
        <f t="shared" si="41"/>
        <v>397.38</v>
      </c>
      <c r="Y39" s="26">
        <f t="shared" si="41"/>
        <v>399.25</v>
      </c>
      <c r="Z39" s="26">
        <f t="shared" si="41"/>
        <v>400.63</v>
      </c>
      <c r="AA39" s="26">
        <f t="shared" si="41"/>
        <v>400.03</v>
      </c>
      <c r="AB39" s="26">
        <f t="shared" si="41"/>
        <v>404.73</v>
      </c>
      <c r="AC39" s="26">
        <f t="shared" si="41"/>
        <v>404.67</v>
      </c>
      <c r="AD39" s="26">
        <f t="shared" si="41"/>
        <v>406.38</v>
      </c>
      <c r="AE39" s="26">
        <f t="shared" si="41"/>
        <v>408.01</v>
      </c>
      <c r="AF39" s="26">
        <f t="shared" si="41"/>
        <v>417.44</v>
      </c>
      <c r="AG39" s="26">
        <f t="shared" si="41"/>
        <v>419.63</v>
      </c>
      <c r="AH39" s="26">
        <f t="shared" si="41"/>
        <v>422.8</v>
      </c>
      <c r="AI39" s="26">
        <f t="shared" si="41"/>
        <v>424.07</v>
      </c>
      <c r="AJ39" s="26">
        <f t="shared" si="41"/>
        <v>424</v>
      </c>
      <c r="AK39" s="26">
        <f t="shared" si="41"/>
        <v>424</v>
      </c>
      <c r="AL39" s="26">
        <f t="shared" si="41"/>
        <v>424</v>
      </c>
      <c r="AM39" s="26">
        <f t="shared" si="41"/>
        <v>424</v>
      </c>
      <c r="AN39" s="26">
        <f t="shared" si="41"/>
        <v>424</v>
      </c>
      <c r="AO39" s="26">
        <f t="shared" si="41"/>
        <v>424</v>
      </c>
      <c r="AP39" s="26">
        <f t="shared" si="41"/>
        <v>424</v>
      </c>
      <c r="AQ39" s="26">
        <f t="shared" si="41"/>
        <v>424</v>
      </c>
      <c r="AR39" s="26">
        <f t="shared" si="41"/>
        <v>424</v>
      </c>
      <c r="AS39" s="26">
        <f t="shared" si="41"/>
        <v>424</v>
      </c>
    </row>
    <row r="40" spans="1:45" x14ac:dyDescent="0.2">
      <c r="A40" s="71" t="str">
        <f t="shared" ref="A40:A49" si="42">A39</f>
        <v>BASE</v>
      </c>
      <c r="B40" s="45" t="s">
        <v>8</v>
      </c>
      <c r="C40" s="45" t="s">
        <v>6</v>
      </c>
      <c r="D40" s="3">
        <v>272</v>
      </c>
      <c r="E40" s="3">
        <v>272</v>
      </c>
      <c r="F40" s="3">
        <v>272</v>
      </c>
      <c r="G40" s="3">
        <v>272</v>
      </c>
      <c r="H40" s="3">
        <v>272</v>
      </c>
      <c r="I40" s="3">
        <v>272</v>
      </c>
      <c r="J40" s="47">
        <v>216.16</v>
      </c>
      <c r="K40" s="47">
        <v>215.99</v>
      </c>
      <c r="L40" s="47">
        <v>214.82</v>
      </c>
      <c r="M40" s="47">
        <v>213.29</v>
      </c>
      <c r="N40" s="47">
        <v>211.85</v>
      </c>
      <c r="O40" s="47">
        <v>211.47</v>
      </c>
      <c r="P40" s="47">
        <v>212.8</v>
      </c>
      <c r="Q40" s="47">
        <v>211.55</v>
      </c>
      <c r="R40" s="47">
        <v>214.9</v>
      </c>
      <c r="S40" s="47">
        <v>216.6</v>
      </c>
      <c r="T40" s="47">
        <v>217.37</v>
      </c>
      <c r="U40" s="47">
        <v>218.03</v>
      </c>
      <c r="V40" s="47">
        <v>219.44</v>
      </c>
      <c r="W40" s="47">
        <v>220.13</v>
      </c>
      <c r="X40" s="47">
        <v>221.6</v>
      </c>
      <c r="Y40" s="47">
        <v>222.79</v>
      </c>
      <c r="Z40" s="47">
        <v>223.67</v>
      </c>
      <c r="AA40" s="47">
        <v>223.29</v>
      </c>
      <c r="AB40" s="47">
        <v>226.29</v>
      </c>
      <c r="AC40" s="47">
        <v>226.25</v>
      </c>
      <c r="AD40" s="47">
        <v>227.34</v>
      </c>
      <c r="AE40" s="47">
        <v>228.38</v>
      </c>
      <c r="AF40" s="47">
        <v>234.4</v>
      </c>
      <c r="AG40" s="47">
        <v>235.81</v>
      </c>
      <c r="AH40" s="47">
        <v>237.83</v>
      </c>
      <c r="AI40" s="47">
        <v>238.64</v>
      </c>
      <c r="AJ40" s="47">
        <f>AI40</f>
        <v>238.64</v>
      </c>
      <c r="AK40" s="47">
        <f t="shared" ref="AK40:AS40" si="43">AJ40</f>
        <v>238.64</v>
      </c>
      <c r="AL40" s="47">
        <f t="shared" si="43"/>
        <v>238.64</v>
      </c>
      <c r="AM40" s="47">
        <f t="shared" si="43"/>
        <v>238.64</v>
      </c>
      <c r="AN40" s="47">
        <f t="shared" si="43"/>
        <v>238.64</v>
      </c>
      <c r="AO40" s="47">
        <f t="shared" si="43"/>
        <v>238.64</v>
      </c>
      <c r="AP40" s="47">
        <f t="shared" si="43"/>
        <v>238.64</v>
      </c>
      <c r="AQ40" s="47">
        <f t="shared" si="43"/>
        <v>238.64</v>
      </c>
      <c r="AR40" s="47">
        <f t="shared" si="43"/>
        <v>238.64</v>
      </c>
      <c r="AS40" s="47">
        <f t="shared" si="43"/>
        <v>238.64</v>
      </c>
    </row>
    <row r="41" spans="1:45" x14ac:dyDescent="0.2">
      <c r="A41" s="71" t="str">
        <f t="shared" si="42"/>
        <v>BASE</v>
      </c>
      <c r="B41" s="44" t="s">
        <v>9</v>
      </c>
      <c r="C41" s="44" t="s">
        <v>6</v>
      </c>
      <c r="D41" s="7">
        <v>272</v>
      </c>
      <c r="E41" s="7">
        <v>272</v>
      </c>
      <c r="F41" s="7">
        <v>272</v>
      </c>
      <c r="G41" s="7">
        <v>272</v>
      </c>
      <c r="H41" s="7">
        <v>272</v>
      </c>
      <c r="I41" s="7">
        <v>272</v>
      </c>
      <c r="J41" s="48">
        <f>J40</f>
        <v>216.16</v>
      </c>
      <c r="K41" s="48">
        <f t="shared" ref="K41:X41" si="44">K40</f>
        <v>215.99</v>
      </c>
      <c r="L41" s="48">
        <f t="shared" si="44"/>
        <v>214.82</v>
      </c>
      <c r="M41" s="48">
        <f t="shared" si="44"/>
        <v>213.29</v>
      </c>
      <c r="N41" s="48">
        <f t="shared" si="44"/>
        <v>211.85</v>
      </c>
      <c r="O41" s="48">
        <f t="shared" si="44"/>
        <v>211.47</v>
      </c>
      <c r="P41" s="48">
        <f t="shared" si="44"/>
        <v>212.8</v>
      </c>
      <c r="Q41" s="48">
        <f t="shared" si="44"/>
        <v>211.55</v>
      </c>
      <c r="R41" s="48">
        <f t="shared" si="44"/>
        <v>214.9</v>
      </c>
      <c r="S41" s="48">
        <f t="shared" si="44"/>
        <v>216.6</v>
      </c>
      <c r="T41" s="48">
        <f t="shared" si="44"/>
        <v>217.37</v>
      </c>
      <c r="U41" s="48">
        <f t="shared" si="44"/>
        <v>218.03</v>
      </c>
      <c r="V41" s="48">
        <f t="shared" si="44"/>
        <v>219.44</v>
      </c>
      <c r="W41" s="48">
        <f t="shared" si="44"/>
        <v>220.13</v>
      </c>
      <c r="X41" s="48">
        <f t="shared" si="44"/>
        <v>221.6</v>
      </c>
      <c r="Y41" s="27">
        <f>Y38</f>
        <v>399.25</v>
      </c>
      <c r="Z41" s="27">
        <f t="shared" ref="Z41:AS41" si="45">Z38</f>
        <v>400.63</v>
      </c>
      <c r="AA41" s="27">
        <f t="shared" si="45"/>
        <v>400.03</v>
      </c>
      <c r="AB41" s="27">
        <f t="shared" si="45"/>
        <v>404.73</v>
      </c>
      <c r="AC41" s="27">
        <f t="shared" si="45"/>
        <v>404.67</v>
      </c>
      <c r="AD41" s="27">
        <f t="shared" si="45"/>
        <v>406.38</v>
      </c>
      <c r="AE41" s="27">
        <f t="shared" si="45"/>
        <v>408.01</v>
      </c>
      <c r="AF41" s="27">
        <f t="shared" si="45"/>
        <v>417.44</v>
      </c>
      <c r="AG41" s="27">
        <f t="shared" si="45"/>
        <v>419.63</v>
      </c>
      <c r="AH41" s="27">
        <f t="shared" si="45"/>
        <v>422.8</v>
      </c>
      <c r="AI41" s="27">
        <f t="shared" si="45"/>
        <v>424.07</v>
      </c>
      <c r="AJ41" s="27">
        <f t="shared" si="45"/>
        <v>424</v>
      </c>
      <c r="AK41" s="27">
        <f t="shared" si="45"/>
        <v>424</v>
      </c>
      <c r="AL41" s="27">
        <f t="shared" si="45"/>
        <v>424</v>
      </c>
      <c r="AM41" s="27">
        <f t="shared" si="45"/>
        <v>424</v>
      </c>
      <c r="AN41" s="27">
        <f t="shared" si="45"/>
        <v>424</v>
      </c>
      <c r="AO41" s="27">
        <f t="shared" si="45"/>
        <v>424</v>
      </c>
      <c r="AP41" s="27">
        <f t="shared" si="45"/>
        <v>424</v>
      </c>
      <c r="AQ41" s="27">
        <f t="shared" si="45"/>
        <v>424</v>
      </c>
      <c r="AR41" s="27">
        <f t="shared" si="45"/>
        <v>424</v>
      </c>
      <c r="AS41" s="27">
        <f t="shared" si="45"/>
        <v>424</v>
      </c>
    </row>
    <row r="42" spans="1:45" x14ac:dyDescent="0.2">
      <c r="A42" s="71" t="str">
        <f t="shared" si="42"/>
        <v>BASE</v>
      </c>
      <c r="B42" s="45" t="s">
        <v>10</v>
      </c>
      <c r="C42" s="45" t="s">
        <v>6</v>
      </c>
      <c r="D42" s="3">
        <v>272</v>
      </c>
      <c r="E42" s="3">
        <v>272</v>
      </c>
      <c r="F42" s="3">
        <v>272</v>
      </c>
      <c r="G42" s="3">
        <v>272</v>
      </c>
      <c r="H42" s="3">
        <v>272</v>
      </c>
      <c r="I42" s="3">
        <v>272</v>
      </c>
      <c r="J42" s="48">
        <f>J40</f>
        <v>216.16</v>
      </c>
      <c r="K42" s="48">
        <f t="shared" ref="K42:AC42" si="46">K40</f>
        <v>215.99</v>
      </c>
      <c r="L42" s="48">
        <f t="shared" si="46"/>
        <v>214.82</v>
      </c>
      <c r="M42" s="48">
        <f t="shared" si="46"/>
        <v>213.29</v>
      </c>
      <c r="N42" s="48">
        <f t="shared" si="46"/>
        <v>211.85</v>
      </c>
      <c r="O42" s="48">
        <f t="shared" si="46"/>
        <v>211.47</v>
      </c>
      <c r="P42" s="48">
        <f t="shared" si="46"/>
        <v>212.8</v>
      </c>
      <c r="Q42" s="48">
        <f t="shared" si="46"/>
        <v>211.55</v>
      </c>
      <c r="R42" s="48">
        <f t="shared" si="46"/>
        <v>214.9</v>
      </c>
      <c r="S42" s="48">
        <f t="shared" si="46"/>
        <v>216.6</v>
      </c>
      <c r="T42" s="48">
        <f t="shared" si="46"/>
        <v>217.37</v>
      </c>
      <c r="U42" s="48">
        <f t="shared" si="46"/>
        <v>218.03</v>
      </c>
      <c r="V42" s="48">
        <f t="shared" si="46"/>
        <v>219.44</v>
      </c>
      <c r="W42" s="48">
        <f t="shared" si="46"/>
        <v>220.13</v>
      </c>
      <c r="X42" s="48">
        <f t="shared" si="46"/>
        <v>221.6</v>
      </c>
      <c r="Y42" s="48">
        <f t="shared" si="46"/>
        <v>222.79</v>
      </c>
      <c r="Z42" s="48">
        <f t="shared" si="46"/>
        <v>223.67</v>
      </c>
      <c r="AA42" s="48">
        <f t="shared" si="46"/>
        <v>223.29</v>
      </c>
      <c r="AB42" s="48">
        <f t="shared" si="46"/>
        <v>226.29</v>
      </c>
      <c r="AC42" s="48">
        <f t="shared" si="46"/>
        <v>226.25</v>
      </c>
      <c r="AD42" s="26">
        <f>AD38</f>
        <v>406.38</v>
      </c>
      <c r="AE42" s="26">
        <f t="shared" ref="AE42:AS42" si="47">AE38</f>
        <v>408.01</v>
      </c>
      <c r="AF42" s="26">
        <f t="shared" si="47"/>
        <v>417.44</v>
      </c>
      <c r="AG42" s="26">
        <f t="shared" si="47"/>
        <v>419.63</v>
      </c>
      <c r="AH42" s="26">
        <f t="shared" si="47"/>
        <v>422.8</v>
      </c>
      <c r="AI42" s="26">
        <f t="shared" si="47"/>
        <v>424.07</v>
      </c>
      <c r="AJ42" s="26">
        <f t="shared" si="47"/>
        <v>424</v>
      </c>
      <c r="AK42" s="26">
        <f t="shared" si="47"/>
        <v>424</v>
      </c>
      <c r="AL42" s="26">
        <f t="shared" si="47"/>
        <v>424</v>
      </c>
      <c r="AM42" s="26">
        <f t="shared" si="47"/>
        <v>424</v>
      </c>
      <c r="AN42" s="26">
        <f t="shared" si="47"/>
        <v>424</v>
      </c>
      <c r="AO42" s="26">
        <f t="shared" si="47"/>
        <v>424</v>
      </c>
      <c r="AP42" s="26">
        <f t="shared" si="47"/>
        <v>424</v>
      </c>
      <c r="AQ42" s="26">
        <f t="shared" si="47"/>
        <v>424</v>
      </c>
      <c r="AR42" s="26">
        <f t="shared" si="47"/>
        <v>424</v>
      </c>
      <c r="AS42" s="26">
        <f t="shared" si="47"/>
        <v>424</v>
      </c>
    </row>
    <row r="43" spans="1:45" x14ac:dyDescent="0.2">
      <c r="A43" s="71" t="str">
        <f t="shared" si="42"/>
        <v>BASE</v>
      </c>
      <c r="B43" s="44" t="s">
        <v>11</v>
      </c>
      <c r="C43" s="44" t="s">
        <v>6</v>
      </c>
      <c r="D43" s="7">
        <v>272</v>
      </c>
      <c r="E43" s="7">
        <v>272</v>
      </c>
      <c r="F43" s="7">
        <v>272</v>
      </c>
      <c r="G43" s="7">
        <v>272</v>
      </c>
      <c r="H43" s="7">
        <v>272</v>
      </c>
      <c r="I43" s="7">
        <v>272</v>
      </c>
      <c r="J43" s="48">
        <f>J40</f>
        <v>216.16</v>
      </c>
      <c r="K43" s="48">
        <f t="shared" ref="K43:AH43" si="48">K40</f>
        <v>215.99</v>
      </c>
      <c r="L43" s="48">
        <f t="shared" si="48"/>
        <v>214.82</v>
      </c>
      <c r="M43" s="48">
        <f t="shared" si="48"/>
        <v>213.29</v>
      </c>
      <c r="N43" s="48">
        <f t="shared" si="48"/>
        <v>211.85</v>
      </c>
      <c r="O43" s="48">
        <f t="shared" si="48"/>
        <v>211.47</v>
      </c>
      <c r="P43" s="48">
        <f t="shared" si="48"/>
        <v>212.8</v>
      </c>
      <c r="Q43" s="48">
        <f t="shared" si="48"/>
        <v>211.55</v>
      </c>
      <c r="R43" s="48">
        <f t="shared" si="48"/>
        <v>214.9</v>
      </c>
      <c r="S43" s="48">
        <f t="shared" si="48"/>
        <v>216.6</v>
      </c>
      <c r="T43" s="48">
        <f t="shared" si="48"/>
        <v>217.37</v>
      </c>
      <c r="U43" s="48">
        <f t="shared" si="48"/>
        <v>218.03</v>
      </c>
      <c r="V43" s="48">
        <f t="shared" si="48"/>
        <v>219.44</v>
      </c>
      <c r="W43" s="48">
        <f t="shared" si="48"/>
        <v>220.13</v>
      </c>
      <c r="X43" s="48">
        <f t="shared" si="48"/>
        <v>221.6</v>
      </c>
      <c r="Y43" s="48">
        <f t="shared" si="48"/>
        <v>222.79</v>
      </c>
      <c r="Z43" s="48">
        <f t="shared" si="48"/>
        <v>223.67</v>
      </c>
      <c r="AA43" s="48">
        <f t="shared" si="48"/>
        <v>223.29</v>
      </c>
      <c r="AB43" s="48">
        <f t="shared" si="48"/>
        <v>226.29</v>
      </c>
      <c r="AC43" s="48">
        <f t="shared" si="48"/>
        <v>226.25</v>
      </c>
      <c r="AD43" s="48">
        <f t="shared" si="48"/>
        <v>227.34</v>
      </c>
      <c r="AE43" s="48">
        <f t="shared" si="48"/>
        <v>228.38</v>
      </c>
      <c r="AF43" s="48">
        <f t="shared" si="48"/>
        <v>234.4</v>
      </c>
      <c r="AG43" s="48">
        <f t="shared" si="48"/>
        <v>235.81</v>
      </c>
      <c r="AH43" s="48">
        <f t="shared" si="48"/>
        <v>237.83</v>
      </c>
      <c r="AI43" s="26">
        <f>AI38</f>
        <v>424.07</v>
      </c>
      <c r="AJ43" s="26">
        <f t="shared" ref="AJ43:AS43" si="49">AJ38</f>
        <v>424</v>
      </c>
      <c r="AK43" s="26">
        <f t="shared" si="49"/>
        <v>424</v>
      </c>
      <c r="AL43" s="26">
        <f t="shared" si="49"/>
        <v>424</v>
      </c>
      <c r="AM43" s="26">
        <f t="shared" si="49"/>
        <v>424</v>
      </c>
      <c r="AN43" s="26">
        <f t="shared" si="49"/>
        <v>424</v>
      </c>
      <c r="AO43" s="26">
        <f t="shared" si="49"/>
        <v>424</v>
      </c>
      <c r="AP43" s="26">
        <f t="shared" si="49"/>
        <v>424</v>
      </c>
      <c r="AQ43" s="26">
        <f t="shared" si="49"/>
        <v>424</v>
      </c>
      <c r="AR43" s="26">
        <f t="shared" si="49"/>
        <v>424</v>
      </c>
      <c r="AS43" s="26">
        <f t="shared" si="49"/>
        <v>424</v>
      </c>
    </row>
    <row r="44" spans="1:45" x14ac:dyDescent="0.2">
      <c r="A44" s="71" t="str">
        <f t="shared" si="42"/>
        <v>BASE</v>
      </c>
      <c r="B44" s="45" t="s">
        <v>12</v>
      </c>
      <c r="C44" s="45" t="s">
        <v>6</v>
      </c>
      <c r="D44" s="3">
        <v>272</v>
      </c>
      <c r="E44" s="3">
        <v>272</v>
      </c>
      <c r="F44" s="3">
        <v>272</v>
      </c>
      <c r="G44" s="3">
        <v>272</v>
      </c>
      <c r="H44" s="3">
        <v>272</v>
      </c>
      <c r="I44" s="3">
        <v>272</v>
      </c>
      <c r="J44" s="48">
        <f>J40</f>
        <v>216.16</v>
      </c>
      <c r="K44" s="48">
        <f t="shared" ref="K44:AM44" si="50">K40</f>
        <v>215.99</v>
      </c>
      <c r="L44" s="48">
        <f t="shared" si="50"/>
        <v>214.82</v>
      </c>
      <c r="M44" s="48">
        <f t="shared" si="50"/>
        <v>213.29</v>
      </c>
      <c r="N44" s="48">
        <f t="shared" si="50"/>
        <v>211.85</v>
      </c>
      <c r="O44" s="48">
        <f t="shared" si="50"/>
        <v>211.47</v>
      </c>
      <c r="P44" s="48">
        <f t="shared" si="50"/>
        <v>212.8</v>
      </c>
      <c r="Q44" s="48">
        <f t="shared" si="50"/>
        <v>211.55</v>
      </c>
      <c r="R44" s="48">
        <f t="shared" si="50"/>
        <v>214.9</v>
      </c>
      <c r="S44" s="48">
        <f t="shared" si="50"/>
        <v>216.6</v>
      </c>
      <c r="T44" s="48">
        <f t="shared" si="50"/>
        <v>217.37</v>
      </c>
      <c r="U44" s="48">
        <f t="shared" si="50"/>
        <v>218.03</v>
      </c>
      <c r="V44" s="48">
        <f t="shared" si="50"/>
        <v>219.44</v>
      </c>
      <c r="W44" s="48">
        <f t="shared" si="50"/>
        <v>220.13</v>
      </c>
      <c r="X44" s="48">
        <f t="shared" si="50"/>
        <v>221.6</v>
      </c>
      <c r="Y44" s="48">
        <f t="shared" si="50"/>
        <v>222.79</v>
      </c>
      <c r="Z44" s="48">
        <f t="shared" si="50"/>
        <v>223.67</v>
      </c>
      <c r="AA44" s="48">
        <f t="shared" si="50"/>
        <v>223.29</v>
      </c>
      <c r="AB44" s="48">
        <f t="shared" si="50"/>
        <v>226.29</v>
      </c>
      <c r="AC44" s="48">
        <f t="shared" si="50"/>
        <v>226.25</v>
      </c>
      <c r="AD44" s="48">
        <f t="shared" si="50"/>
        <v>227.34</v>
      </c>
      <c r="AE44" s="48">
        <f t="shared" si="50"/>
        <v>228.38</v>
      </c>
      <c r="AF44" s="48">
        <f t="shared" si="50"/>
        <v>234.4</v>
      </c>
      <c r="AG44" s="48">
        <f t="shared" si="50"/>
        <v>235.81</v>
      </c>
      <c r="AH44" s="48">
        <f t="shared" si="50"/>
        <v>237.83</v>
      </c>
      <c r="AI44" s="48">
        <f t="shared" si="50"/>
        <v>238.64</v>
      </c>
      <c r="AJ44" s="48">
        <f t="shared" si="50"/>
        <v>238.64</v>
      </c>
      <c r="AK44" s="48">
        <f t="shared" si="50"/>
        <v>238.64</v>
      </c>
      <c r="AL44" s="48">
        <f t="shared" si="50"/>
        <v>238.64</v>
      </c>
      <c r="AM44" s="48">
        <f t="shared" si="50"/>
        <v>238.64</v>
      </c>
      <c r="AN44" s="26">
        <f>AN38</f>
        <v>424</v>
      </c>
      <c r="AO44" s="26">
        <f t="shared" ref="AO44:AS44" si="51">AO38</f>
        <v>424</v>
      </c>
      <c r="AP44" s="26">
        <f t="shared" si="51"/>
        <v>424</v>
      </c>
      <c r="AQ44" s="26">
        <f t="shared" si="51"/>
        <v>424</v>
      </c>
      <c r="AR44" s="26">
        <f t="shared" si="51"/>
        <v>424</v>
      </c>
      <c r="AS44" s="26">
        <f t="shared" si="51"/>
        <v>424</v>
      </c>
    </row>
    <row r="45" spans="1:45" x14ac:dyDescent="0.2">
      <c r="A45" s="71" t="str">
        <f t="shared" si="42"/>
        <v>BASE</v>
      </c>
      <c r="B45" s="44" t="s">
        <v>13</v>
      </c>
      <c r="C45" s="44" t="s">
        <v>6</v>
      </c>
      <c r="D45" s="7">
        <v>272</v>
      </c>
      <c r="E45" s="7">
        <v>272</v>
      </c>
      <c r="F45" s="7">
        <v>272</v>
      </c>
      <c r="G45" s="7">
        <v>272</v>
      </c>
      <c r="H45" s="7">
        <v>272</v>
      </c>
      <c r="I45" s="7">
        <v>272</v>
      </c>
      <c r="J45" s="48">
        <f>J40</f>
        <v>216.16</v>
      </c>
      <c r="K45" s="48">
        <f t="shared" ref="K45:AR45" si="52">K40</f>
        <v>215.99</v>
      </c>
      <c r="L45" s="48">
        <f t="shared" si="52"/>
        <v>214.82</v>
      </c>
      <c r="M45" s="48">
        <f t="shared" si="52"/>
        <v>213.29</v>
      </c>
      <c r="N45" s="48">
        <f t="shared" si="52"/>
        <v>211.85</v>
      </c>
      <c r="O45" s="48">
        <f t="shared" si="52"/>
        <v>211.47</v>
      </c>
      <c r="P45" s="48">
        <f t="shared" si="52"/>
        <v>212.8</v>
      </c>
      <c r="Q45" s="48">
        <f t="shared" si="52"/>
        <v>211.55</v>
      </c>
      <c r="R45" s="48">
        <f t="shared" si="52"/>
        <v>214.9</v>
      </c>
      <c r="S45" s="48">
        <f t="shared" si="52"/>
        <v>216.6</v>
      </c>
      <c r="T45" s="48">
        <f t="shared" si="52"/>
        <v>217.37</v>
      </c>
      <c r="U45" s="48">
        <f t="shared" si="52"/>
        <v>218.03</v>
      </c>
      <c r="V45" s="48">
        <f t="shared" si="52"/>
        <v>219.44</v>
      </c>
      <c r="W45" s="48">
        <f t="shared" si="52"/>
        <v>220.13</v>
      </c>
      <c r="X45" s="48">
        <f t="shared" si="52"/>
        <v>221.6</v>
      </c>
      <c r="Y45" s="48">
        <f t="shared" si="52"/>
        <v>222.79</v>
      </c>
      <c r="Z45" s="48">
        <f t="shared" si="52"/>
        <v>223.67</v>
      </c>
      <c r="AA45" s="48">
        <f t="shared" si="52"/>
        <v>223.29</v>
      </c>
      <c r="AB45" s="48">
        <f t="shared" si="52"/>
        <v>226.29</v>
      </c>
      <c r="AC45" s="48">
        <f t="shared" si="52"/>
        <v>226.25</v>
      </c>
      <c r="AD45" s="48">
        <f t="shared" si="52"/>
        <v>227.34</v>
      </c>
      <c r="AE45" s="48">
        <f t="shared" si="52"/>
        <v>228.38</v>
      </c>
      <c r="AF45" s="48">
        <f t="shared" si="52"/>
        <v>234.4</v>
      </c>
      <c r="AG45" s="48">
        <f t="shared" si="52"/>
        <v>235.81</v>
      </c>
      <c r="AH45" s="48">
        <f t="shared" si="52"/>
        <v>237.83</v>
      </c>
      <c r="AI45" s="48">
        <f t="shared" si="52"/>
        <v>238.64</v>
      </c>
      <c r="AJ45" s="48">
        <f t="shared" si="52"/>
        <v>238.64</v>
      </c>
      <c r="AK45" s="48">
        <f t="shared" si="52"/>
        <v>238.64</v>
      </c>
      <c r="AL45" s="48">
        <f t="shared" si="52"/>
        <v>238.64</v>
      </c>
      <c r="AM45" s="48">
        <f t="shared" si="52"/>
        <v>238.64</v>
      </c>
      <c r="AN45" s="48">
        <f t="shared" si="52"/>
        <v>238.64</v>
      </c>
      <c r="AO45" s="48">
        <f t="shared" si="52"/>
        <v>238.64</v>
      </c>
      <c r="AP45" s="48">
        <f t="shared" si="52"/>
        <v>238.64</v>
      </c>
      <c r="AQ45" s="48">
        <f t="shared" si="52"/>
        <v>238.64</v>
      </c>
      <c r="AR45" s="48">
        <f t="shared" si="52"/>
        <v>238.64</v>
      </c>
      <c r="AS45" s="26">
        <f>AS38</f>
        <v>424</v>
      </c>
    </row>
    <row r="46" spans="1:45" x14ac:dyDescent="0.2">
      <c r="A46" s="71" t="str">
        <f t="shared" si="42"/>
        <v>BASE</v>
      </c>
      <c r="B46" s="45" t="s">
        <v>15</v>
      </c>
      <c r="C46" s="45" t="s">
        <v>6</v>
      </c>
      <c r="D46" s="3">
        <v>45.18</v>
      </c>
      <c r="E46" s="3">
        <v>45.18</v>
      </c>
      <c r="F46" s="3">
        <v>45.18</v>
      </c>
      <c r="G46" s="3">
        <v>45.18</v>
      </c>
      <c r="H46" s="3">
        <v>45.18</v>
      </c>
      <c r="I46" s="3">
        <v>45.18</v>
      </c>
      <c r="J46" s="49">
        <v>45</v>
      </c>
      <c r="K46" s="49">
        <v>45</v>
      </c>
      <c r="L46" s="49">
        <v>45</v>
      </c>
      <c r="M46" s="49">
        <v>45</v>
      </c>
      <c r="N46" s="49">
        <v>45</v>
      </c>
      <c r="O46" s="49">
        <v>45</v>
      </c>
      <c r="P46" s="49">
        <v>45</v>
      </c>
      <c r="Q46" s="49">
        <v>45</v>
      </c>
      <c r="R46" s="49">
        <v>45</v>
      </c>
      <c r="S46" s="49">
        <v>45</v>
      </c>
      <c r="T46" s="49">
        <v>45</v>
      </c>
      <c r="U46" s="49">
        <v>45</v>
      </c>
      <c r="V46" s="49">
        <v>45</v>
      </c>
      <c r="W46" s="49">
        <v>45</v>
      </c>
      <c r="X46" s="49">
        <v>45</v>
      </c>
      <c r="Y46" s="49">
        <v>45</v>
      </c>
      <c r="Z46" s="49">
        <v>45</v>
      </c>
      <c r="AA46" s="49">
        <v>45</v>
      </c>
      <c r="AB46" s="49">
        <v>45</v>
      </c>
      <c r="AC46" s="49">
        <v>45</v>
      </c>
      <c r="AD46" s="49">
        <v>45</v>
      </c>
      <c r="AE46" s="49">
        <v>45</v>
      </c>
      <c r="AF46" s="49">
        <v>45</v>
      </c>
      <c r="AG46" s="49">
        <v>45</v>
      </c>
      <c r="AH46" s="49">
        <v>45</v>
      </c>
      <c r="AI46" s="49">
        <v>45</v>
      </c>
      <c r="AJ46" s="49">
        <v>45</v>
      </c>
      <c r="AK46" s="49">
        <v>45</v>
      </c>
      <c r="AL46" s="49">
        <v>45</v>
      </c>
      <c r="AM46" s="49">
        <v>45</v>
      </c>
      <c r="AN46" s="49">
        <v>45</v>
      </c>
      <c r="AO46" s="49">
        <v>45</v>
      </c>
      <c r="AP46" s="49">
        <v>45</v>
      </c>
      <c r="AQ46" s="49">
        <v>45</v>
      </c>
      <c r="AR46" s="49">
        <v>45</v>
      </c>
      <c r="AS46" s="49">
        <v>45</v>
      </c>
    </row>
    <row r="47" spans="1:45" x14ac:dyDescent="0.2">
      <c r="A47" s="71" t="str">
        <f t="shared" si="42"/>
        <v>BASE</v>
      </c>
      <c r="B47" s="44" t="s">
        <v>16</v>
      </c>
      <c r="C47" s="44" t="s">
        <v>6</v>
      </c>
      <c r="D47" s="7">
        <v>18</v>
      </c>
      <c r="E47" s="7">
        <v>18</v>
      </c>
      <c r="F47" s="7">
        <v>18</v>
      </c>
      <c r="G47" s="7">
        <v>18</v>
      </c>
      <c r="H47" s="7">
        <v>18</v>
      </c>
      <c r="I47" s="7">
        <v>18</v>
      </c>
      <c r="J47" s="50">
        <v>18</v>
      </c>
      <c r="K47" s="50">
        <v>18</v>
      </c>
      <c r="L47" s="50">
        <v>18</v>
      </c>
      <c r="M47" s="50">
        <v>18</v>
      </c>
      <c r="N47" s="50">
        <v>18</v>
      </c>
      <c r="O47" s="50">
        <v>18</v>
      </c>
      <c r="P47" s="50">
        <v>18</v>
      </c>
      <c r="Q47" s="50">
        <v>18</v>
      </c>
      <c r="R47" s="50">
        <v>18</v>
      </c>
      <c r="S47" s="50">
        <v>18</v>
      </c>
      <c r="T47" s="50">
        <v>18</v>
      </c>
      <c r="U47" s="50">
        <v>18</v>
      </c>
      <c r="V47" s="50">
        <v>18</v>
      </c>
      <c r="W47" s="50">
        <v>18</v>
      </c>
      <c r="X47" s="50">
        <v>18</v>
      </c>
      <c r="Y47" s="50">
        <v>18</v>
      </c>
      <c r="Z47" s="50">
        <v>18</v>
      </c>
      <c r="AA47" s="50">
        <v>18</v>
      </c>
      <c r="AB47" s="50">
        <v>18</v>
      </c>
      <c r="AC47" s="50">
        <v>18</v>
      </c>
      <c r="AD47" s="50">
        <v>18</v>
      </c>
      <c r="AE47" s="50">
        <v>18</v>
      </c>
      <c r="AF47" s="50">
        <v>18</v>
      </c>
      <c r="AG47" s="50">
        <v>18</v>
      </c>
      <c r="AH47" s="50">
        <v>18</v>
      </c>
      <c r="AI47" s="50">
        <v>18</v>
      </c>
      <c r="AJ47" s="50">
        <v>18</v>
      </c>
      <c r="AK47" s="50">
        <v>18</v>
      </c>
      <c r="AL47" s="50">
        <v>18</v>
      </c>
      <c r="AM47" s="50">
        <v>18</v>
      </c>
      <c r="AN47" s="50">
        <v>18</v>
      </c>
      <c r="AO47" s="50">
        <v>18</v>
      </c>
      <c r="AP47" s="50">
        <v>18</v>
      </c>
      <c r="AQ47" s="50">
        <v>18</v>
      </c>
      <c r="AR47" s="50">
        <v>18</v>
      </c>
      <c r="AS47" s="50">
        <v>18</v>
      </c>
    </row>
    <row r="48" spans="1:45" x14ac:dyDescent="0.2">
      <c r="A48" s="71" t="str">
        <f t="shared" si="42"/>
        <v>BASE</v>
      </c>
      <c r="B48" s="45" t="s">
        <v>17</v>
      </c>
      <c r="C48" s="45" t="s">
        <v>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  <c r="W48" s="49">
        <v>0</v>
      </c>
      <c r="X48" s="49">
        <v>0</v>
      </c>
      <c r="Y48" s="49">
        <v>0</v>
      </c>
      <c r="Z48" s="49">
        <v>0</v>
      </c>
      <c r="AA48" s="49">
        <v>0</v>
      </c>
      <c r="AB48" s="49">
        <v>0</v>
      </c>
      <c r="AC48" s="49">
        <v>0</v>
      </c>
      <c r="AD48" s="49">
        <v>0</v>
      </c>
      <c r="AE48" s="49">
        <v>0</v>
      </c>
      <c r="AF48" s="49">
        <v>0</v>
      </c>
      <c r="AG48" s="49">
        <v>0</v>
      </c>
      <c r="AH48" s="49">
        <v>0</v>
      </c>
      <c r="AI48" s="49">
        <v>0</v>
      </c>
      <c r="AJ48" s="49">
        <v>0</v>
      </c>
      <c r="AK48" s="49">
        <v>0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0</v>
      </c>
      <c r="AR48" s="49">
        <v>0</v>
      </c>
      <c r="AS48" s="49">
        <v>0</v>
      </c>
    </row>
    <row r="49" spans="1:45" x14ac:dyDescent="0.2">
      <c r="A49" s="71" t="str">
        <f t="shared" si="42"/>
        <v>BASE</v>
      </c>
      <c r="B49" s="46" t="s">
        <v>14</v>
      </c>
      <c r="C49" s="46" t="s">
        <v>6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</row>
    <row r="50" spans="1:45" x14ac:dyDescent="0.2">
      <c r="A50" s="72" t="s">
        <v>25</v>
      </c>
      <c r="B50" s="45" t="s">
        <v>5</v>
      </c>
      <c r="C50" s="45" t="s">
        <v>6</v>
      </c>
      <c r="D50" s="3">
        <v>400.69668080000002</v>
      </c>
      <c r="E50" s="3">
        <v>402.46947069999999</v>
      </c>
      <c r="F50" s="3">
        <v>402.49143750000002</v>
      </c>
      <c r="G50" s="3">
        <v>405.597127</v>
      </c>
      <c r="H50" s="3">
        <v>406.51069790000003</v>
      </c>
      <c r="I50" s="3">
        <v>408.73353279999998</v>
      </c>
      <c r="J50" s="28">
        <v>388.87</v>
      </c>
      <c r="K50" s="28">
        <v>372.94</v>
      </c>
      <c r="L50" s="28">
        <v>356.79</v>
      </c>
      <c r="M50" s="28">
        <v>341.89</v>
      </c>
      <c r="N50" s="28">
        <v>326.08</v>
      </c>
      <c r="O50" s="28">
        <v>311.33</v>
      </c>
      <c r="P50" s="28">
        <v>313.23</v>
      </c>
      <c r="Q50" s="28">
        <v>312.72000000000003</v>
      </c>
      <c r="R50" s="28">
        <v>316.02999999999997</v>
      </c>
      <c r="S50" s="28">
        <v>317.45999999999998</v>
      </c>
      <c r="T50" s="28">
        <v>318.45</v>
      </c>
      <c r="U50" s="28">
        <v>320.16000000000003</v>
      </c>
      <c r="V50" s="28">
        <v>321.70999999999998</v>
      </c>
      <c r="W50" s="28">
        <v>323.02999999999997</v>
      </c>
      <c r="X50" s="28">
        <v>325.39</v>
      </c>
      <c r="Y50" s="28">
        <v>326.70999999999998</v>
      </c>
      <c r="Z50" s="28">
        <v>327.79</v>
      </c>
      <c r="AA50" s="28">
        <v>327.88</v>
      </c>
      <c r="AB50" s="28">
        <v>330.62</v>
      </c>
      <c r="AC50" s="28">
        <v>330.97</v>
      </c>
      <c r="AD50" s="28">
        <v>332.22</v>
      </c>
      <c r="AE50" s="28">
        <v>335.09</v>
      </c>
      <c r="AF50" s="28">
        <v>339.96</v>
      </c>
      <c r="AG50" s="28">
        <v>341.7</v>
      </c>
      <c r="AH50" s="28">
        <v>343.5</v>
      </c>
      <c r="AI50" s="28">
        <v>344.94</v>
      </c>
      <c r="AJ50" s="29">
        <v>345</v>
      </c>
      <c r="AK50" s="29">
        <v>345</v>
      </c>
      <c r="AL50" s="29">
        <v>345</v>
      </c>
      <c r="AM50" s="29">
        <v>345</v>
      </c>
      <c r="AN50" s="29">
        <v>345</v>
      </c>
      <c r="AO50" s="29">
        <v>345</v>
      </c>
      <c r="AP50" s="29">
        <v>345</v>
      </c>
      <c r="AQ50" s="29">
        <v>345</v>
      </c>
      <c r="AR50" s="29">
        <v>345</v>
      </c>
      <c r="AS50" s="29">
        <v>345</v>
      </c>
    </row>
    <row r="51" spans="1:45" x14ac:dyDescent="0.2">
      <c r="A51" s="72" t="str">
        <f>A50</f>
        <v>LOW</v>
      </c>
      <c r="B51" s="44" t="s">
        <v>7</v>
      </c>
      <c r="C51" s="44" t="s">
        <v>6</v>
      </c>
      <c r="D51" s="7">
        <v>400.69668080000002</v>
      </c>
      <c r="E51" s="7">
        <v>402.46947069999999</v>
      </c>
      <c r="F51" s="7">
        <v>402.49143750000002</v>
      </c>
      <c r="G51" s="7">
        <v>405.597127</v>
      </c>
      <c r="H51" s="7">
        <v>406.51069790000003</v>
      </c>
      <c r="I51" s="7">
        <v>408.73353279999998</v>
      </c>
      <c r="J51" s="28">
        <v>388.87</v>
      </c>
      <c r="K51" s="28">
        <v>372.94</v>
      </c>
      <c r="L51" s="28">
        <v>356.79</v>
      </c>
      <c r="M51" s="28">
        <v>341.89</v>
      </c>
      <c r="N51" s="28">
        <v>326.08</v>
      </c>
      <c r="O51" s="28">
        <v>311.33</v>
      </c>
      <c r="P51" s="28">
        <v>313.23</v>
      </c>
      <c r="Q51" s="28">
        <v>312.72000000000003</v>
      </c>
      <c r="R51" s="28">
        <v>316.02999999999997</v>
      </c>
      <c r="S51" s="28">
        <v>317.45999999999998</v>
      </c>
      <c r="T51" s="28">
        <v>318.45</v>
      </c>
      <c r="U51" s="28">
        <v>320.16000000000003</v>
      </c>
      <c r="V51" s="28">
        <v>321.70999999999998</v>
      </c>
      <c r="W51" s="28">
        <v>323.02999999999997</v>
      </c>
      <c r="X51" s="28">
        <v>325.39</v>
      </c>
      <c r="Y51" s="28">
        <v>326.70999999999998</v>
      </c>
      <c r="Z51" s="28">
        <v>327.79</v>
      </c>
      <c r="AA51" s="28">
        <v>327.88</v>
      </c>
      <c r="AB51" s="28">
        <v>330.62</v>
      </c>
      <c r="AC51" s="28">
        <v>330.97</v>
      </c>
      <c r="AD51" s="28">
        <v>332.22</v>
      </c>
      <c r="AE51" s="28">
        <v>335.09</v>
      </c>
      <c r="AF51" s="28">
        <v>339.96</v>
      </c>
      <c r="AG51" s="28">
        <v>341.7</v>
      </c>
      <c r="AH51" s="28">
        <v>343.5</v>
      </c>
      <c r="AI51" s="28">
        <v>344.94</v>
      </c>
      <c r="AJ51" s="29">
        <v>345</v>
      </c>
      <c r="AK51" s="29">
        <v>345</v>
      </c>
      <c r="AL51" s="29">
        <v>345</v>
      </c>
      <c r="AM51" s="29">
        <v>345</v>
      </c>
      <c r="AN51" s="29">
        <v>345</v>
      </c>
      <c r="AO51" s="29">
        <v>345</v>
      </c>
      <c r="AP51" s="29">
        <v>345</v>
      </c>
      <c r="AQ51" s="29">
        <v>345</v>
      </c>
      <c r="AR51" s="29">
        <v>345</v>
      </c>
      <c r="AS51" s="29">
        <v>345</v>
      </c>
    </row>
    <row r="52" spans="1:45" x14ac:dyDescent="0.2">
      <c r="A52" s="72" t="str">
        <f t="shared" ref="A52:A61" si="53">A51</f>
        <v>LOW</v>
      </c>
      <c r="B52" s="45" t="s">
        <v>8</v>
      </c>
      <c r="C52" s="45" t="s">
        <v>6</v>
      </c>
      <c r="D52" s="3">
        <v>272</v>
      </c>
      <c r="E52" s="3">
        <v>272</v>
      </c>
      <c r="F52" s="3">
        <v>272</v>
      </c>
      <c r="G52" s="3">
        <v>272</v>
      </c>
      <c r="H52" s="3">
        <v>272</v>
      </c>
      <c r="I52" s="3">
        <v>272</v>
      </c>
      <c r="J52" s="47">
        <v>206.85</v>
      </c>
      <c r="K52" s="47">
        <v>196.67</v>
      </c>
      <c r="L52" s="47">
        <v>186.36</v>
      </c>
      <c r="M52" s="47">
        <v>176.85</v>
      </c>
      <c r="N52" s="47">
        <v>166.75</v>
      </c>
      <c r="O52" s="47">
        <v>157.32</v>
      </c>
      <c r="P52" s="47">
        <v>158.54</v>
      </c>
      <c r="Q52" s="47">
        <v>158.21</v>
      </c>
      <c r="R52" s="47">
        <v>160.33000000000001</v>
      </c>
      <c r="S52" s="47">
        <v>161.24</v>
      </c>
      <c r="T52" s="47">
        <v>161.87</v>
      </c>
      <c r="U52" s="47">
        <v>162.97</v>
      </c>
      <c r="V52" s="47">
        <v>163.95</v>
      </c>
      <c r="W52" s="47">
        <v>164.8</v>
      </c>
      <c r="X52" s="47">
        <v>166.3</v>
      </c>
      <c r="Y52" s="47">
        <v>167.15</v>
      </c>
      <c r="Z52" s="47">
        <v>167.84</v>
      </c>
      <c r="AA52" s="47">
        <v>167.89</v>
      </c>
      <c r="AB52" s="47">
        <v>169.64</v>
      </c>
      <c r="AC52" s="47">
        <v>169.87</v>
      </c>
      <c r="AD52" s="47">
        <v>170.67</v>
      </c>
      <c r="AE52" s="47">
        <v>172.5</v>
      </c>
      <c r="AF52" s="47">
        <v>175.61</v>
      </c>
      <c r="AG52" s="47">
        <v>176.72</v>
      </c>
      <c r="AH52" s="47">
        <v>177.87</v>
      </c>
      <c r="AI52" s="47">
        <v>178.79</v>
      </c>
      <c r="AJ52" s="47">
        <f>AI52</f>
        <v>178.79</v>
      </c>
      <c r="AK52" s="47">
        <f t="shared" ref="AK52:AS52" si="54">AJ52</f>
        <v>178.79</v>
      </c>
      <c r="AL52" s="47">
        <f t="shared" si="54"/>
        <v>178.79</v>
      </c>
      <c r="AM52" s="47">
        <f t="shared" si="54"/>
        <v>178.79</v>
      </c>
      <c r="AN52" s="47">
        <f t="shared" si="54"/>
        <v>178.79</v>
      </c>
      <c r="AO52" s="47">
        <f t="shared" si="54"/>
        <v>178.79</v>
      </c>
      <c r="AP52" s="47">
        <f t="shared" si="54"/>
        <v>178.79</v>
      </c>
      <c r="AQ52" s="47">
        <f t="shared" si="54"/>
        <v>178.79</v>
      </c>
      <c r="AR52" s="47">
        <f t="shared" si="54"/>
        <v>178.79</v>
      </c>
      <c r="AS52" s="47">
        <f t="shared" si="54"/>
        <v>178.79</v>
      </c>
    </row>
    <row r="53" spans="1:45" x14ac:dyDescent="0.2">
      <c r="A53" s="72" t="str">
        <f t="shared" si="53"/>
        <v>LOW</v>
      </c>
      <c r="B53" s="44" t="s">
        <v>9</v>
      </c>
      <c r="C53" s="44" t="s">
        <v>6</v>
      </c>
      <c r="D53" s="7">
        <v>272</v>
      </c>
      <c r="E53" s="7">
        <v>272</v>
      </c>
      <c r="F53" s="7">
        <v>272</v>
      </c>
      <c r="G53" s="7">
        <v>272</v>
      </c>
      <c r="H53" s="7">
        <v>272</v>
      </c>
      <c r="I53" s="7">
        <v>272</v>
      </c>
      <c r="J53" s="48">
        <f>J52</f>
        <v>206.85</v>
      </c>
      <c r="K53" s="48">
        <f t="shared" ref="K53:X53" si="55">K52</f>
        <v>196.67</v>
      </c>
      <c r="L53" s="48">
        <f t="shared" si="55"/>
        <v>186.36</v>
      </c>
      <c r="M53" s="48">
        <f t="shared" si="55"/>
        <v>176.85</v>
      </c>
      <c r="N53" s="48">
        <f t="shared" si="55"/>
        <v>166.75</v>
      </c>
      <c r="O53" s="48">
        <f t="shared" si="55"/>
        <v>157.32</v>
      </c>
      <c r="P53" s="48">
        <f t="shared" si="55"/>
        <v>158.54</v>
      </c>
      <c r="Q53" s="48">
        <f t="shared" si="55"/>
        <v>158.21</v>
      </c>
      <c r="R53" s="48">
        <f t="shared" si="55"/>
        <v>160.33000000000001</v>
      </c>
      <c r="S53" s="48">
        <f t="shared" si="55"/>
        <v>161.24</v>
      </c>
      <c r="T53" s="48">
        <f t="shared" si="55"/>
        <v>161.87</v>
      </c>
      <c r="U53" s="48">
        <f t="shared" si="55"/>
        <v>162.97</v>
      </c>
      <c r="V53" s="48">
        <f t="shared" si="55"/>
        <v>163.95</v>
      </c>
      <c r="W53" s="48">
        <f t="shared" si="55"/>
        <v>164.8</v>
      </c>
      <c r="X53" s="48">
        <f t="shared" si="55"/>
        <v>166.3</v>
      </c>
      <c r="Y53" s="29">
        <v>327</v>
      </c>
      <c r="Z53" s="29">
        <v>328</v>
      </c>
      <c r="AA53" s="29">
        <v>328</v>
      </c>
      <c r="AB53" s="29">
        <v>331</v>
      </c>
      <c r="AC53" s="29">
        <v>331</v>
      </c>
      <c r="AD53" s="29">
        <v>332</v>
      </c>
      <c r="AE53" s="29">
        <v>335</v>
      </c>
      <c r="AF53" s="29">
        <v>340</v>
      </c>
      <c r="AG53" s="29">
        <v>342</v>
      </c>
      <c r="AH53" s="29">
        <v>344</v>
      </c>
      <c r="AI53" s="29">
        <v>345</v>
      </c>
      <c r="AJ53" s="29">
        <v>345</v>
      </c>
      <c r="AK53" s="29">
        <v>345</v>
      </c>
      <c r="AL53" s="29">
        <v>345</v>
      </c>
      <c r="AM53" s="29">
        <v>345</v>
      </c>
      <c r="AN53" s="29">
        <v>345</v>
      </c>
      <c r="AO53" s="29">
        <v>345</v>
      </c>
      <c r="AP53" s="29">
        <v>345</v>
      </c>
      <c r="AQ53" s="29">
        <v>345</v>
      </c>
      <c r="AR53" s="29">
        <v>345</v>
      </c>
      <c r="AS53" s="29">
        <v>345</v>
      </c>
    </row>
    <row r="54" spans="1:45" x14ac:dyDescent="0.2">
      <c r="A54" s="72" t="str">
        <f t="shared" si="53"/>
        <v>LOW</v>
      </c>
      <c r="B54" s="45" t="s">
        <v>10</v>
      </c>
      <c r="C54" s="45" t="s">
        <v>6</v>
      </c>
      <c r="D54" s="3">
        <v>272</v>
      </c>
      <c r="E54" s="3">
        <v>272</v>
      </c>
      <c r="F54" s="3">
        <v>272</v>
      </c>
      <c r="G54" s="3">
        <v>272</v>
      </c>
      <c r="H54" s="3">
        <v>272</v>
      </c>
      <c r="I54" s="3">
        <v>272</v>
      </c>
      <c r="J54" s="48">
        <f>J52</f>
        <v>206.85</v>
      </c>
      <c r="K54" s="48">
        <f t="shared" ref="K54:AC54" si="56">K52</f>
        <v>196.67</v>
      </c>
      <c r="L54" s="48">
        <f t="shared" si="56"/>
        <v>186.36</v>
      </c>
      <c r="M54" s="48">
        <f t="shared" si="56"/>
        <v>176.85</v>
      </c>
      <c r="N54" s="48">
        <f t="shared" si="56"/>
        <v>166.75</v>
      </c>
      <c r="O54" s="48">
        <f t="shared" si="56"/>
        <v>157.32</v>
      </c>
      <c r="P54" s="48">
        <f t="shared" si="56"/>
        <v>158.54</v>
      </c>
      <c r="Q54" s="48">
        <f t="shared" si="56"/>
        <v>158.21</v>
      </c>
      <c r="R54" s="48">
        <f t="shared" si="56"/>
        <v>160.33000000000001</v>
      </c>
      <c r="S54" s="48">
        <f t="shared" si="56"/>
        <v>161.24</v>
      </c>
      <c r="T54" s="48">
        <f t="shared" si="56"/>
        <v>161.87</v>
      </c>
      <c r="U54" s="48">
        <f t="shared" si="56"/>
        <v>162.97</v>
      </c>
      <c r="V54" s="48">
        <f t="shared" si="56"/>
        <v>163.95</v>
      </c>
      <c r="W54" s="48">
        <f t="shared" si="56"/>
        <v>164.8</v>
      </c>
      <c r="X54" s="48">
        <f t="shared" si="56"/>
        <v>166.3</v>
      </c>
      <c r="Y54" s="48">
        <f t="shared" si="56"/>
        <v>167.15</v>
      </c>
      <c r="Z54" s="48">
        <f t="shared" si="56"/>
        <v>167.84</v>
      </c>
      <c r="AA54" s="48">
        <f t="shared" si="56"/>
        <v>167.89</v>
      </c>
      <c r="AB54" s="48">
        <f t="shared" si="56"/>
        <v>169.64</v>
      </c>
      <c r="AC54" s="48">
        <f t="shared" si="56"/>
        <v>169.87</v>
      </c>
      <c r="AD54" s="28">
        <v>332</v>
      </c>
      <c r="AE54" s="28">
        <v>335</v>
      </c>
      <c r="AF54" s="28">
        <v>340</v>
      </c>
      <c r="AG54" s="28">
        <v>342</v>
      </c>
      <c r="AH54" s="28">
        <v>344</v>
      </c>
      <c r="AI54" s="28">
        <v>345</v>
      </c>
      <c r="AJ54" s="28">
        <v>345</v>
      </c>
      <c r="AK54" s="28">
        <v>345</v>
      </c>
      <c r="AL54" s="28">
        <v>345</v>
      </c>
      <c r="AM54" s="28">
        <v>345</v>
      </c>
      <c r="AN54" s="28">
        <v>345</v>
      </c>
      <c r="AO54" s="28">
        <v>345</v>
      </c>
      <c r="AP54" s="28">
        <v>345</v>
      </c>
      <c r="AQ54" s="28">
        <v>345</v>
      </c>
      <c r="AR54" s="28">
        <v>345</v>
      </c>
      <c r="AS54" s="28">
        <v>345</v>
      </c>
    </row>
    <row r="55" spans="1:45" x14ac:dyDescent="0.2">
      <c r="A55" s="72" t="str">
        <f t="shared" si="53"/>
        <v>LOW</v>
      </c>
      <c r="B55" s="44" t="s">
        <v>11</v>
      </c>
      <c r="C55" s="44" t="s">
        <v>6</v>
      </c>
      <c r="D55" s="7">
        <v>272</v>
      </c>
      <c r="E55" s="7">
        <v>272</v>
      </c>
      <c r="F55" s="7">
        <v>272</v>
      </c>
      <c r="G55" s="7">
        <v>272</v>
      </c>
      <c r="H55" s="7">
        <v>272</v>
      </c>
      <c r="I55" s="7">
        <v>272</v>
      </c>
      <c r="J55" s="48">
        <f>J52</f>
        <v>206.85</v>
      </c>
      <c r="K55" s="48">
        <f t="shared" ref="K55:AH55" si="57">K52</f>
        <v>196.67</v>
      </c>
      <c r="L55" s="48">
        <f t="shared" si="57"/>
        <v>186.36</v>
      </c>
      <c r="M55" s="48">
        <f t="shared" si="57"/>
        <v>176.85</v>
      </c>
      <c r="N55" s="48">
        <f t="shared" si="57"/>
        <v>166.75</v>
      </c>
      <c r="O55" s="48">
        <f t="shared" si="57"/>
        <v>157.32</v>
      </c>
      <c r="P55" s="48">
        <f t="shared" si="57"/>
        <v>158.54</v>
      </c>
      <c r="Q55" s="48">
        <f t="shared" si="57"/>
        <v>158.21</v>
      </c>
      <c r="R55" s="48">
        <f t="shared" si="57"/>
        <v>160.33000000000001</v>
      </c>
      <c r="S55" s="48">
        <f t="shared" si="57"/>
        <v>161.24</v>
      </c>
      <c r="T55" s="48">
        <f t="shared" si="57"/>
        <v>161.87</v>
      </c>
      <c r="U55" s="48">
        <f t="shared" si="57"/>
        <v>162.97</v>
      </c>
      <c r="V55" s="48">
        <f t="shared" si="57"/>
        <v>163.95</v>
      </c>
      <c r="W55" s="48">
        <f t="shared" si="57"/>
        <v>164.8</v>
      </c>
      <c r="X55" s="48">
        <f t="shared" si="57"/>
        <v>166.3</v>
      </c>
      <c r="Y55" s="48">
        <f t="shared" si="57"/>
        <v>167.15</v>
      </c>
      <c r="Z55" s="48">
        <f t="shared" si="57"/>
        <v>167.84</v>
      </c>
      <c r="AA55" s="48">
        <f t="shared" si="57"/>
        <v>167.89</v>
      </c>
      <c r="AB55" s="48">
        <f t="shared" si="57"/>
        <v>169.64</v>
      </c>
      <c r="AC55" s="48">
        <f t="shared" si="57"/>
        <v>169.87</v>
      </c>
      <c r="AD55" s="48">
        <f t="shared" si="57"/>
        <v>170.67</v>
      </c>
      <c r="AE55" s="48">
        <f t="shared" si="57"/>
        <v>172.5</v>
      </c>
      <c r="AF55" s="48">
        <f t="shared" si="57"/>
        <v>175.61</v>
      </c>
      <c r="AG55" s="48">
        <f t="shared" si="57"/>
        <v>176.72</v>
      </c>
      <c r="AH55" s="48">
        <f t="shared" si="57"/>
        <v>177.87</v>
      </c>
      <c r="AI55" s="29">
        <v>345</v>
      </c>
      <c r="AJ55" s="29">
        <v>345</v>
      </c>
      <c r="AK55" s="29">
        <v>345</v>
      </c>
      <c r="AL55" s="29">
        <v>345</v>
      </c>
      <c r="AM55" s="29">
        <v>345</v>
      </c>
      <c r="AN55" s="29">
        <v>345</v>
      </c>
      <c r="AO55" s="29">
        <v>345</v>
      </c>
      <c r="AP55" s="29">
        <v>345</v>
      </c>
      <c r="AQ55" s="29">
        <v>345</v>
      </c>
      <c r="AR55" s="29">
        <v>345</v>
      </c>
      <c r="AS55" s="29">
        <v>345</v>
      </c>
    </row>
    <row r="56" spans="1:45" x14ac:dyDescent="0.2">
      <c r="A56" s="72" t="str">
        <f t="shared" si="53"/>
        <v>LOW</v>
      </c>
      <c r="B56" s="45" t="s">
        <v>12</v>
      </c>
      <c r="C56" s="45" t="s">
        <v>6</v>
      </c>
      <c r="D56" s="3">
        <v>272</v>
      </c>
      <c r="E56" s="3">
        <v>272</v>
      </c>
      <c r="F56" s="3">
        <v>272</v>
      </c>
      <c r="G56" s="3">
        <v>272</v>
      </c>
      <c r="H56" s="3">
        <v>272</v>
      </c>
      <c r="I56" s="3">
        <v>272</v>
      </c>
      <c r="J56" s="48">
        <f>J52</f>
        <v>206.85</v>
      </c>
      <c r="K56" s="48">
        <f t="shared" ref="K56:AM56" si="58">K52</f>
        <v>196.67</v>
      </c>
      <c r="L56" s="48">
        <f t="shared" si="58"/>
        <v>186.36</v>
      </c>
      <c r="M56" s="48">
        <f t="shared" si="58"/>
        <v>176.85</v>
      </c>
      <c r="N56" s="48">
        <f t="shared" si="58"/>
        <v>166.75</v>
      </c>
      <c r="O56" s="48">
        <f t="shared" si="58"/>
        <v>157.32</v>
      </c>
      <c r="P56" s="48">
        <f t="shared" si="58"/>
        <v>158.54</v>
      </c>
      <c r="Q56" s="48">
        <f t="shared" si="58"/>
        <v>158.21</v>
      </c>
      <c r="R56" s="48">
        <f t="shared" si="58"/>
        <v>160.33000000000001</v>
      </c>
      <c r="S56" s="48">
        <f t="shared" si="58"/>
        <v>161.24</v>
      </c>
      <c r="T56" s="48">
        <f t="shared" si="58"/>
        <v>161.87</v>
      </c>
      <c r="U56" s="48">
        <f t="shared" si="58"/>
        <v>162.97</v>
      </c>
      <c r="V56" s="48">
        <f t="shared" si="58"/>
        <v>163.95</v>
      </c>
      <c r="W56" s="48">
        <f t="shared" si="58"/>
        <v>164.8</v>
      </c>
      <c r="X56" s="48">
        <f t="shared" si="58"/>
        <v>166.3</v>
      </c>
      <c r="Y56" s="48">
        <f t="shared" si="58"/>
        <v>167.15</v>
      </c>
      <c r="Z56" s="48">
        <f t="shared" si="58"/>
        <v>167.84</v>
      </c>
      <c r="AA56" s="48">
        <f t="shared" si="58"/>
        <v>167.89</v>
      </c>
      <c r="AB56" s="48">
        <f t="shared" si="58"/>
        <v>169.64</v>
      </c>
      <c r="AC56" s="48">
        <f t="shared" si="58"/>
        <v>169.87</v>
      </c>
      <c r="AD56" s="48">
        <f t="shared" si="58"/>
        <v>170.67</v>
      </c>
      <c r="AE56" s="48">
        <f t="shared" si="58"/>
        <v>172.5</v>
      </c>
      <c r="AF56" s="48">
        <f t="shared" si="58"/>
        <v>175.61</v>
      </c>
      <c r="AG56" s="48">
        <f t="shared" si="58"/>
        <v>176.72</v>
      </c>
      <c r="AH56" s="48">
        <f t="shared" si="58"/>
        <v>177.87</v>
      </c>
      <c r="AI56" s="48">
        <f t="shared" si="58"/>
        <v>178.79</v>
      </c>
      <c r="AJ56" s="48">
        <f t="shared" si="58"/>
        <v>178.79</v>
      </c>
      <c r="AK56" s="48">
        <f t="shared" si="58"/>
        <v>178.79</v>
      </c>
      <c r="AL56" s="48">
        <f t="shared" si="58"/>
        <v>178.79</v>
      </c>
      <c r="AM56" s="48">
        <f t="shared" si="58"/>
        <v>178.79</v>
      </c>
      <c r="AN56" s="28">
        <v>345</v>
      </c>
      <c r="AO56" s="28">
        <v>345</v>
      </c>
      <c r="AP56" s="28">
        <v>345</v>
      </c>
      <c r="AQ56" s="28">
        <v>345</v>
      </c>
      <c r="AR56" s="28">
        <v>345</v>
      </c>
      <c r="AS56" s="28">
        <v>345</v>
      </c>
    </row>
    <row r="57" spans="1:45" x14ac:dyDescent="0.2">
      <c r="A57" s="72" t="str">
        <f t="shared" si="53"/>
        <v>LOW</v>
      </c>
      <c r="B57" s="44" t="s">
        <v>13</v>
      </c>
      <c r="C57" s="44" t="s">
        <v>6</v>
      </c>
      <c r="D57" s="7">
        <v>272</v>
      </c>
      <c r="E57" s="7">
        <v>272</v>
      </c>
      <c r="F57" s="7">
        <v>272</v>
      </c>
      <c r="G57" s="7">
        <v>272</v>
      </c>
      <c r="H57" s="7">
        <v>272</v>
      </c>
      <c r="I57" s="7">
        <v>272</v>
      </c>
      <c r="J57" s="48">
        <f>J52</f>
        <v>206.85</v>
      </c>
      <c r="K57" s="48">
        <f t="shared" ref="K57:AR57" si="59">K52</f>
        <v>196.67</v>
      </c>
      <c r="L57" s="48">
        <f t="shared" si="59"/>
        <v>186.36</v>
      </c>
      <c r="M57" s="48">
        <f t="shared" si="59"/>
        <v>176.85</v>
      </c>
      <c r="N57" s="48">
        <f t="shared" si="59"/>
        <v>166.75</v>
      </c>
      <c r="O57" s="48">
        <f t="shared" si="59"/>
        <v>157.32</v>
      </c>
      <c r="P57" s="48">
        <f t="shared" si="59"/>
        <v>158.54</v>
      </c>
      <c r="Q57" s="48">
        <f t="shared" si="59"/>
        <v>158.21</v>
      </c>
      <c r="R57" s="48">
        <f t="shared" si="59"/>
        <v>160.33000000000001</v>
      </c>
      <c r="S57" s="48">
        <f t="shared" si="59"/>
        <v>161.24</v>
      </c>
      <c r="T57" s="48">
        <f t="shared" si="59"/>
        <v>161.87</v>
      </c>
      <c r="U57" s="48">
        <f t="shared" si="59"/>
        <v>162.97</v>
      </c>
      <c r="V57" s="48">
        <f t="shared" si="59"/>
        <v>163.95</v>
      </c>
      <c r="W57" s="48">
        <f t="shared" si="59"/>
        <v>164.8</v>
      </c>
      <c r="X57" s="48">
        <f t="shared" si="59"/>
        <v>166.3</v>
      </c>
      <c r="Y57" s="48">
        <f t="shared" si="59"/>
        <v>167.15</v>
      </c>
      <c r="Z57" s="48">
        <f t="shared" si="59"/>
        <v>167.84</v>
      </c>
      <c r="AA57" s="48">
        <f t="shared" si="59"/>
        <v>167.89</v>
      </c>
      <c r="AB57" s="48">
        <f t="shared" si="59"/>
        <v>169.64</v>
      </c>
      <c r="AC57" s="48">
        <f t="shared" si="59"/>
        <v>169.87</v>
      </c>
      <c r="AD57" s="48">
        <f t="shared" si="59"/>
        <v>170.67</v>
      </c>
      <c r="AE57" s="48">
        <f t="shared" si="59"/>
        <v>172.5</v>
      </c>
      <c r="AF57" s="48">
        <f t="shared" si="59"/>
        <v>175.61</v>
      </c>
      <c r="AG57" s="48">
        <f t="shared" si="59"/>
        <v>176.72</v>
      </c>
      <c r="AH57" s="48">
        <f t="shared" si="59"/>
        <v>177.87</v>
      </c>
      <c r="AI57" s="48">
        <f t="shared" si="59"/>
        <v>178.79</v>
      </c>
      <c r="AJ57" s="48">
        <f t="shared" si="59"/>
        <v>178.79</v>
      </c>
      <c r="AK57" s="48">
        <f t="shared" si="59"/>
        <v>178.79</v>
      </c>
      <c r="AL57" s="48">
        <f t="shared" si="59"/>
        <v>178.79</v>
      </c>
      <c r="AM57" s="48">
        <f t="shared" si="59"/>
        <v>178.79</v>
      </c>
      <c r="AN57" s="48">
        <f t="shared" si="59"/>
        <v>178.79</v>
      </c>
      <c r="AO57" s="48">
        <f t="shared" si="59"/>
        <v>178.79</v>
      </c>
      <c r="AP57" s="48">
        <f t="shared" si="59"/>
        <v>178.79</v>
      </c>
      <c r="AQ57" s="48">
        <f t="shared" si="59"/>
        <v>178.79</v>
      </c>
      <c r="AR57" s="48">
        <f t="shared" si="59"/>
        <v>178.79</v>
      </c>
      <c r="AS57" s="29">
        <v>345</v>
      </c>
    </row>
    <row r="58" spans="1:45" x14ac:dyDescent="0.2">
      <c r="A58" s="72" t="str">
        <f t="shared" si="53"/>
        <v>LOW</v>
      </c>
      <c r="B58" s="45" t="s">
        <v>15</v>
      </c>
      <c r="C58" s="45" t="s">
        <v>6</v>
      </c>
      <c r="D58" s="3">
        <v>45.18</v>
      </c>
      <c r="E58" s="3">
        <v>45.18</v>
      </c>
      <c r="F58" s="3">
        <v>45.18</v>
      </c>
      <c r="G58" s="3">
        <v>45.18</v>
      </c>
      <c r="H58" s="3">
        <v>45.18</v>
      </c>
      <c r="I58" s="3">
        <v>45.18</v>
      </c>
      <c r="J58" s="49">
        <v>45</v>
      </c>
      <c r="K58" s="49">
        <v>45</v>
      </c>
      <c r="L58" s="49">
        <v>45</v>
      </c>
      <c r="M58" s="49">
        <v>45</v>
      </c>
      <c r="N58" s="49">
        <v>45</v>
      </c>
      <c r="O58" s="49">
        <v>45</v>
      </c>
      <c r="P58" s="49">
        <v>45</v>
      </c>
      <c r="Q58" s="49">
        <v>45</v>
      </c>
      <c r="R58" s="49">
        <v>45</v>
      </c>
      <c r="S58" s="49">
        <v>45</v>
      </c>
      <c r="T58" s="49">
        <v>45</v>
      </c>
      <c r="U58" s="49">
        <v>45</v>
      </c>
      <c r="V58" s="49">
        <v>45</v>
      </c>
      <c r="W58" s="49">
        <v>45</v>
      </c>
      <c r="X58" s="49">
        <v>45</v>
      </c>
      <c r="Y58" s="49">
        <v>45</v>
      </c>
      <c r="Z58" s="49">
        <v>45</v>
      </c>
      <c r="AA58" s="49">
        <v>45</v>
      </c>
      <c r="AB58" s="49">
        <v>45</v>
      </c>
      <c r="AC58" s="49">
        <v>45</v>
      </c>
      <c r="AD58" s="49">
        <v>45</v>
      </c>
      <c r="AE58" s="49">
        <v>45</v>
      </c>
      <c r="AF58" s="49">
        <v>45</v>
      </c>
      <c r="AG58" s="49">
        <v>45</v>
      </c>
      <c r="AH58" s="49">
        <v>45</v>
      </c>
      <c r="AI58" s="49">
        <v>45</v>
      </c>
      <c r="AJ58" s="49">
        <v>45</v>
      </c>
      <c r="AK58" s="49">
        <v>45</v>
      </c>
      <c r="AL58" s="49">
        <v>45</v>
      </c>
      <c r="AM58" s="49">
        <v>45</v>
      </c>
      <c r="AN58" s="49">
        <v>45</v>
      </c>
      <c r="AO58" s="49">
        <v>45</v>
      </c>
      <c r="AP58" s="49">
        <v>45</v>
      </c>
      <c r="AQ58" s="49">
        <v>45</v>
      </c>
      <c r="AR58" s="49">
        <v>45</v>
      </c>
      <c r="AS58" s="49">
        <v>45</v>
      </c>
    </row>
    <row r="59" spans="1:45" x14ac:dyDescent="0.2">
      <c r="A59" s="72" t="str">
        <f t="shared" si="53"/>
        <v>LOW</v>
      </c>
      <c r="B59" s="44" t="s">
        <v>16</v>
      </c>
      <c r="C59" s="44" t="s">
        <v>6</v>
      </c>
      <c r="D59" s="7">
        <v>18</v>
      </c>
      <c r="E59" s="7">
        <v>18</v>
      </c>
      <c r="F59" s="7">
        <v>18</v>
      </c>
      <c r="G59" s="7">
        <v>18</v>
      </c>
      <c r="H59" s="7">
        <v>18</v>
      </c>
      <c r="I59" s="7">
        <v>18</v>
      </c>
      <c r="J59" s="50">
        <v>18</v>
      </c>
      <c r="K59" s="50">
        <v>18</v>
      </c>
      <c r="L59" s="50">
        <v>18</v>
      </c>
      <c r="M59" s="50">
        <v>18</v>
      </c>
      <c r="N59" s="50">
        <v>18</v>
      </c>
      <c r="O59" s="50">
        <v>18</v>
      </c>
      <c r="P59" s="50">
        <v>18</v>
      </c>
      <c r="Q59" s="50">
        <v>18</v>
      </c>
      <c r="R59" s="50">
        <v>18</v>
      </c>
      <c r="S59" s="50">
        <v>18</v>
      </c>
      <c r="T59" s="50">
        <v>18</v>
      </c>
      <c r="U59" s="50">
        <v>18</v>
      </c>
      <c r="V59" s="50">
        <v>18</v>
      </c>
      <c r="W59" s="50">
        <v>18</v>
      </c>
      <c r="X59" s="50">
        <v>18</v>
      </c>
      <c r="Y59" s="50">
        <v>18</v>
      </c>
      <c r="Z59" s="50">
        <v>18</v>
      </c>
      <c r="AA59" s="50">
        <v>18</v>
      </c>
      <c r="AB59" s="50">
        <v>18</v>
      </c>
      <c r="AC59" s="50">
        <v>18</v>
      </c>
      <c r="AD59" s="50">
        <v>18</v>
      </c>
      <c r="AE59" s="50">
        <v>18</v>
      </c>
      <c r="AF59" s="50">
        <v>18</v>
      </c>
      <c r="AG59" s="50">
        <v>18</v>
      </c>
      <c r="AH59" s="50">
        <v>18</v>
      </c>
      <c r="AI59" s="50">
        <v>18</v>
      </c>
      <c r="AJ59" s="50">
        <v>18</v>
      </c>
      <c r="AK59" s="50">
        <v>18</v>
      </c>
      <c r="AL59" s="50">
        <v>18</v>
      </c>
      <c r="AM59" s="50">
        <v>18</v>
      </c>
      <c r="AN59" s="50">
        <v>18</v>
      </c>
      <c r="AO59" s="50">
        <v>18</v>
      </c>
      <c r="AP59" s="50">
        <v>18</v>
      </c>
      <c r="AQ59" s="50">
        <v>18</v>
      </c>
      <c r="AR59" s="50">
        <v>18</v>
      </c>
      <c r="AS59" s="50">
        <v>18</v>
      </c>
    </row>
    <row r="60" spans="1:45" x14ac:dyDescent="0.2">
      <c r="A60" s="72" t="str">
        <f t="shared" si="53"/>
        <v>LOW</v>
      </c>
      <c r="B60" s="45" t="s">
        <v>17</v>
      </c>
      <c r="C60" s="45" t="s">
        <v>6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49">
        <v>0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  <c r="W60" s="49">
        <v>0</v>
      </c>
      <c r="X60" s="49">
        <v>0</v>
      </c>
      <c r="Y60" s="49">
        <v>0</v>
      </c>
      <c r="Z60" s="49">
        <v>0</v>
      </c>
      <c r="AA60" s="49">
        <v>0</v>
      </c>
      <c r="AB60" s="49">
        <v>0</v>
      </c>
      <c r="AC60" s="49">
        <v>0</v>
      </c>
      <c r="AD60" s="49">
        <v>0</v>
      </c>
      <c r="AE60" s="49">
        <v>0</v>
      </c>
      <c r="AF60" s="49">
        <v>0</v>
      </c>
      <c r="AG60" s="49">
        <v>0</v>
      </c>
      <c r="AH60" s="49">
        <v>0</v>
      </c>
      <c r="AI60" s="49">
        <v>0</v>
      </c>
      <c r="AJ60" s="49">
        <v>0</v>
      </c>
      <c r="AK60" s="49">
        <v>0</v>
      </c>
      <c r="AL60" s="49">
        <v>0</v>
      </c>
      <c r="AM60" s="49">
        <v>0</v>
      </c>
      <c r="AN60" s="49">
        <v>0</v>
      </c>
      <c r="AO60" s="49">
        <v>0</v>
      </c>
      <c r="AP60" s="49">
        <v>0</v>
      </c>
      <c r="AQ60" s="49">
        <v>0</v>
      </c>
      <c r="AR60" s="49">
        <v>0</v>
      </c>
      <c r="AS60" s="49">
        <v>0</v>
      </c>
    </row>
    <row r="61" spans="1:45" x14ac:dyDescent="0.2">
      <c r="A61" s="72" t="str">
        <f t="shared" si="53"/>
        <v>LOW</v>
      </c>
      <c r="B61" s="46" t="s">
        <v>14</v>
      </c>
      <c r="C61" s="46" t="s">
        <v>6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</row>
    <row r="63" spans="1:45" x14ac:dyDescent="0.2"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5FC-D3C3-447B-B304-899D2F095228}">
  <dimension ref="A1:P89"/>
  <sheetViews>
    <sheetView workbookViewId="0">
      <selection activeCell="Z18" sqref="Z18"/>
    </sheetView>
  </sheetViews>
  <sheetFormatPr baseColWidth="10" defaultColWidth="8.83203125" defaultRowHeight="15" x14ac:dyDescent="0.2"/>
  <sheetData>
    <row r="1" spans="1:16" x14ac:dyDescent="0.2">
      <c r="A1">
        <v>2020.0467480964801</v>
      </c>
      <c r="B1">
        <v>714.28399468612395</v>
      </c>
      <c r="C1">
        <v>1394.4129896677</v>
      </c>
      <c r="D1" t="s">
        <v>36</v>
      </c>
      <c r="E1" t="s">
        <v>19</v>
      </c>
      <c r="F1">
        <v>1.8499999999999999E-2</v>
      </c>
      <c r="G1" t="s">
        <v>20</v>
      </c>
    </row>
    <row r="2" spans="1:16" x14ac:dyDescent="0.2">
      <c r="A2">
        <v>2029.99936531142</v>
      </c>
      <c r="B2">
        <v>473.07826147856099</v>
      </c>
      <c r="C2">
        <v>948.23786376956798</v>
      </c>
      <c r="D2" t="s">
        <v>36</v>
      </c>
      <c r="F2">
        <v>18.7</v>
      </c>
      <c r="G2" t="s">
        <v>21</v>
      </c>
    </row>
    <row r="3" spans="1:16" x14ac:dyDescent="0.2">
      <c r="A3">
        <v>2050.0065657438799</v>
      </c>
      <c r="B3">
        <v>313.65871700987299</v>
      </c>
      <c r="C3">
        <v>611.79273259694901</v>
      </c>
      <c r="D3" t="s">
        <v>36</v>
      </c>
    </row>
    <row r="6" spans="1:16" x14ac:dyDescent="0.2">
      <c r="A6">
        <v>2020</v>
      </c>
      <c r="B6">
        <f>B1/1000</f>
        <v>0.71428399468612391</v>
      </c>
      <c r="C6">
        <f>C1/1000</f>
        <v>1.3944129896677</v>
      </c>
      <c r="D6" t="s">
        <v>37</v>
      </c>
      <c r="E6" s="20">
        <f t="shared" ref="E6:F9" si="0">B6/$F$1*$F$2</f>
        <v>722.00598381786574</v>
      </c>
      <c r="F6" s="20">
        <f>C6/$F$1*$F$2</f>
        <v>1409.4877246911346</v>
      </c>
      <c r="G6" t="s">
        <v>6</v>
      </c>
      <c r="H6">
        <f>E6/0.278</f>
        <v>2597.14382668297</v>
      </c>
      <c r="I6">
        <f>H6/0.5</f>
        <v>5194.2876533659401</v>
      </c>
    </row>
    <row r="7" spans="1:16" x14ac:dyDescent="0.2">
      <c r="A7">
        <v>2030</v>
      </c>
      <c r="B7">
        <f>B2/1000</f>
        <v>0.47307826147856097</v>
      </c>
      <c r="C7">
        <f>C2/1000</f>
        <v>0.94823786376956798</v>
      </c>
      <c r="D7" t="s">
        <v>37</v>
      </c>
      <c r="E7" s="20">
        <f t="shared" si="0"/>
        <v>478.19262106211301</v>
      </c>
      <c r="F7" s="20">
        <f t="shared" si="0"/>
        <v>958.48908391842815</v>
      </c>
      <c r="G7" t="s">
        <v>6</v>
      </c>
      <c r="H7">
        <f t="shared" ref="H7:H9" si="1">E7/0.278</f>
        <v>1720.1173419500467</v>
      </c>
      <c r="I7">
        <f t="shared" ref="I7:I9" si="2">H7/0.5</f>
        <v>3440.2346839000934</v>
      </c>
    </row>
    <row r="8" spans="1:16" x14ac:dyDescent="0.2">
      <c r="A8">
        <v>2040</v>
      </c>
      <c r="B8">
        <f>0.5*B7+0.5*B9</f>
        <v>0.39336848924421697</v>
      </c>
      <c r="C8">
        <f>0.5*C7+0.5*C9</f>
        <v>0.78001529818325843</v>
      </c>
      <c r="D8" t="s">
        <v>37</v>
      </c>
      <c r="E8" s="20">
        <f t="shared" si="0"/>
        <v>397.62112156037068</v>
      </c>
      <c r="F8" s="20">
        <f t="shared" si="0"/>
        <v>788.44789600145589</v>
      </c>
      <c r="G8" t="s">
        <v>6</v>
      </c>
      <c r="H8">
        <f t="shared" si="1"/>
        <v>1430.2918041739952</v>
      </c>
      <c r="I8">
        <f t="shared" si="2"/>
        <v>2860.5836083479903</v>
      </c>
    </row>
    <row r="9" spans="1:16" x14ac:dyDescent="0.2">
      <c r="A9">
        <v>2050</v>
      </c>
      <c r="B9">
        <f>B3/1000</f>
        <v>0.31365871700987297</v>
      </c>
      <c r="C9">
        <f>C3/1000</f>
        <v>0.611792732596949</v>
      </c>
      <c r="D9" t="s">
        <v>37</v>
      </c>
      <c r="E9" s="20">
        <f t="shared" si="0"/>
        <v>317.04962205862836</v>
      </c>
      <c r="F9" s="20">
        <f t="shared" si="0"/>
        <v>618.40670808448363</v>
      </c>
      <c r="G9" t="s">
        <v>6</v>
      </c>
      <c r="H9">
        <f t="shared" si="1"/>
        <v>1140.4662663979436</v>
      </c>
      <c r="I9">
        <f t="shared" si="2"/>
        <v>2280.9325327958873</v>
      </c>
    </row>
    <row r="10" spans="1:16" x14ac:dyDescent="0.2">
      <c r="A10">
        <v>2060</v>
      </c>
    </row>
    <row r="12" spans="1:16" x14ac:dyDescent="0.2">
      <c r="A12" t="s">
        <v>35</v>
      </c>
    </row>
    <row r="16" spans="1:16" x14ac:dyDescent="0.2">
      <c r="P16" t="s">
        <v>29</v>
      </c>
    </row>
    <row r="23" spans="11:12" x14ac:dyDescent="0.2">
      <c r="K23">
        <f>600/0.278</f>
        <v>2158.2733812949637</v>
      </c>
      <c r="L23">
        <f>K23/0.5</f>
        <v>4316.5467625899273</v>
      </c>
    </row>
    <row r="38" spans="7:8" x14ac:dyDescent="0.2">
      <c r="H38" t="s">
        <v>30</v>
      </c>
    </row>
    <row r="41" spans="7:8" x14ac:dyDescent="0.2">
      <c r="G41" t="s">
        <v>31</v>
      </c>
    </row>
    <row r="89" spans="1:1" x14ac:dyDescent="0.2">
      <c r="A89" t="s">
        <v>32</v>
      </c>
    </row>
  </sheetData>
  <pageMargins left="0.7" right="0.7" top="0.75" bottom="0.75" header="0.3" footer="0.3"/>
  <customProperties>
    <customPr name="LastActive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A19A-4292-4C56-863C-96E8487C337E}">
  <dimension ref="A1:AM8"/>
  <sheetViews>
    <sheetView workbookViewId="0">
      <selection activeCell="K34" sqref="K34"/>
    </sheetView>
  </sheetViews>
  <sheetFormatPr baseColWidth="10" defaultColWidth="8.83203125" defaultRowHeight="15" x14ac:dyDescent="0.2"/>
  <sheetData>
    <row r="1" spans="1:39" ht="16" x14ac:dyDescent="0.2">
      <c r="A1" s="30" t="s">
        <v>0</v>
      </c>
      <c r="B1" s="31" t="s">
        <v>22</v>
      </c>
      <c r="C1" s="31">
        <v>2024</v>
      </c>
      <c r="D1" s="31">
        <v>2025</v>
      </c>
      <c r="E1" s="31">
        <f t="shared" ref="E1:AM1" si="0">D1+1</f>
        <v>2026</v>
      </c>
      <c r="F1" s="31">
        <f t="shared" si="0"/>
        <v>2027</v>
      </c>
      <c r="G1" s="31">
        <f t="shared" si="0"/>
        <v>2028</v>
      </c>
      <c r="H1" s="31">
        <f t="shared" si="0"/>
        <v>2029</v>
      </c>
      <c r="I1" s="31">
        <f t="shared" si="0"/>
        <v>2030</v>
      </c>
      <c r="J1" s="31">
        <f t="shared" si="0"/>
        <v>2031</v>
      </c>
      <c r="K1" s="31">
        <f t="shared" si="0"/>
        <v>2032</v>
      </c>
      <c r="L1" s="31">
        <f t="shared" si="0"/>
        <v>2033</v>
      </c>
      <c r="M1" s="31">
        <f t="shared" si="0"/>
        <v>2034</v>
      </c>
      <c r="N1" s="31">
        <f t="shared" si="0"/>
        <v>2035</v>
      </c>
      <c r="O1" s="31">
        <f t="shared" si="0"/>
        <v>2036</v>
      </c>
      <c r="P1" s="31">
        <f t="shared" si="0"/>
        <v>2037</v>
      </c>
      <c r="Q1" s="31">
        <f t="shared" si="0"/>
        <v>2038</v>
      </c>
      <c r="R1" s="31">
        <f t="shared" si="0"/>
        <v>2039</v>
      </c>
      <c r="S1" s="31">
        <f t="shared" si="0"/>
        <v>2040</v>
      </c>
      <c r="T1" s="31">
        <f t="shared" si="0"/>
        <v>2041</v>
      </c>
      <c r="U1" s="31">
        <f t="shared" si="0"/>
        <v>2042</v>
      </c>
      <c r="V1" s="31">
        <f t="shared" si="0"/>
        <v>2043</v>
      </c>
      <c r="W1" s="31">
        <f t="shared" si="0"/>
        <v>2044</v>
      </c>
      <c r="X1" s="31">
        <f t="shared" si="0"/>
        <v>2045</v>
      </c>
      <c r="Y1" s="31">
        <f t="shared" si="0"/>
        <v>2046</v>
      </c>
      <c r="Z1" s="31">
        <f t="shared" si="0"/>
        <v>2047</v>
      </c>
      <c r="AA1" s="31">
        <f t="shared" si="0"/>
        <v>2048</v>
      </c>
      <c r="AB1" s="31">
        <f t="shared" si="0"/>
        <v>2049</v>
      </c>
      <c r="AC1" s="31">
        <f t="shared" si="0"/>
        <v>2050</v>
      </c>
      <c r="AD1" s="32">
        <f t="shared" si="0"/>
        <v>2051</v>
      </c>
      <c r="AE1" s="32">
        <f t="shared" si="0"/>
        <v>2052</v>
      </c>
      <c r="AF1" s="32">
        <f t="shared" si="0"/>
        <v>2053</v>
      </c>
      <c r="AG1" s="32">
        <f t="shared" si="0"/>
        <v>2054</v>
      </c>
      <c r="AH1" s="32">
        <f t="shared" si="0"/>
        <v>2055</v>
      </c>
      <c r="AI1" s="32">
        <f t="shared" si="0"/>
        <v>2056</v>
      </c>
      <c r="AJ1" s="32">
        <f t="shared" si="0"/>
        <v>2057</v>
      </c>
      <c r="AK1" s="32">
        <f t="shared" si="0"/>
        <v>2058</v>
      </c>
      <c r="AL1" s="32">
        <f t="shared" si="0"/>
        <v>2059</v>
      </c>
      <c r="AM1" s="32">
        <f t="shared" si="0"/>
        <v>2060</v>
      </c>
    </row>
    <row r="2" spans="1:39" x14ac:dyDescent="0.2">
      <c r="A2" s="5" t="s">
        <v>23</v>
      </c>
      <c r="B2" s="9" t="s">
        <v>24</v>
      </c>
      <c r="C2" s="33">
        <v>0</v>
      </c>
      <c r="D2" s="33">
        <f t="shared" ref="D2:AM2" si="1">C2</f>
        <v>0</v>
      </c>
      <c r="E2" s="33">
        <f t="shared" si="1"/>
        <v>0</v>
      </c>
      <c r="F2" s="33">
        <f t="shared" si="1"/>
        <v>0</v>
      </c>
      <c r="G2" s="33">
        <f t="shared" si="1"/>
        <v>0</v>
      </c>
      <c r="H2" s="33">
        <f t="shared" si="1"/>
        <v>0</v>
      </c>
      <c r="I2" s="33">
        <f t="shared" si="1"/>
        <v>0</v>
      </c>
      <c r="J2" s="33">
        <f t="shared" si="1"/>
        <v>0</v>
      </c>
      <c r="K2" s="33">
        <f t="shared" si="1"/>
        <v>0</v>
      </c>
      <c r="L2" s="33">
        <f t="shared" si="1"/>
        <v>0</v>
      </c>
      <c r="M2" s="33">
        <f t="shared" si="1"/>
        <v>0</v>
      </c>
      <c r="N2" s="33">
        <f t="shared" si="1"/>
        <v>0</v>
      </c>
      <c r="O2" s="33">
        <f t="shared" si="1"/>
        <v>0</v>
      </c>
      <c r="P2" s="33">
        <f t="shared" si="1"/>
        <v>0</v>
      </c>
      <c r="Q2" s="33">
        <f t="shared" si="1"/>
        <v>0</v>
      </c>
      <c r="R2" s="33">
        <f t="shared" si="1"/>
        <v>0</v>
      </c>
      <c r="S2" s="33">
        <f t="shared" si="1"/>
        <v>0</v>
      </c>
      <c r="T2" s="33">
        <f t="shared" si="1"/>
        <v>0</v>
      </c>
      <c r="U2" s="33">
        <f t="shared" si="1"/>
        <v>0</v>
      </c>
      <c r="V2" s="33">
        <f t="shared" si="1"/>
        <v>0</v>
      </c>
      <c r="W2" s="33">
        <f t="shared" si="1"/>
        <v>0</v>
      </c>
      <c r="X2" s="33">
        <f t="shared" si="1"/>
        <v>0</v>
      </c>
      <c r="Y2" s="33">
        <f t="shared" si="1"/>
        <v>0</v>
      </c>
      <c r="Z2" s="33">
        <f t="shared" si="1"/>
        <v>0</v>
      </c>
      <c r="AA2" s="33">
        <f t="shared" si="1"/>
        <v>0</v>
      </c>
      <c r="AB2" s="33">
        <f t="shared" si="1"/>
        <v>0</v>
      </c>
      <c r="AC2" s="33">
        <f t="shared" si="1"/>
        <v>0</v>
      </c>
      <c r="AD2" s="34">
        <f t="shared" si="1"/>
        <v>0</v>
      </c>
      <c r="AE2" s="34">
        <f t="shared" si="1"/>
        <v>0</v>
      </c>
      <c r="AF2" s="34">
        <f t="shared" si="1"/>
        <v>0</v>
      </c>
      <c r="AG2" s="34">
        <f t="shared" si="1"/>
        <v>0</v>
      </c>
      <c r="AH2" s="34">
        <f t="shared" si="1"/>
        <v>0</v>
      </c>
      <c r="AI2" s="34">
        <f t="shared" si="1"/>
        <v>0</v>
      </c>
      <c r="AJ2" s="34">
        <f t="shared" si="1"/>
        <v>0</v>
      </c>
      <c r="AK2" s="34">
        <f t="shared" si="1"/>
        <v>0</v>
      </c>
      <c r="AL2" s="34">
        <f t="shared" si="1"/>
        <v>0</v>
      </c>
      <c r="AM2" s="34">
        <f t="shared" si="1"/>
        <v>0</v>
      </c>
    </row>
    <row r="3" spans="1:39" x14ac:dyDescent="0.2">
      <c r="A3" s="35" t="s">
        <v>4</v>
      </c>
      <c r="B3" s="36" t="s">
        <v>24</v>
      </c>
      <c r="C3" s="37">
        <v>0</v>
      </c>
      <c r="D3" s="38">
        <v>0</v>
      </c>
      <c r="E3" s="38">
        <v>308</v>
      </c>
      <c r="F3" s="38">
        <v>347</v>
      </c>
      <c r="G3" s="38">
        <v>385</v>
      </c>
      <c r="H3" s="38">
        <v>424</v>
      </c>
      <c r="I3" s="38">
        <v>462</v>
      </c>
      <c r="J3" s="38">
        <f t="shared" ref="J3:R3" si="2">($S$3-$I$3)/10+I3</f>
        <v>507.95</v>
      </c>
      <c r="K3" s="38">
        <f t="shared" si="2"/>
        <v>553.9</v>
      </c>
      <c r="L3" s="38">
        <f t="shared" si="2"/>
        <v>599.85</v>
      </c>
      <c r="M3" s="38">
        <f t="shared" si="2"/>
        <v>645.80000000000007</v>
      </c>
      <c r="N3" s="38">
        <f t="shared" si="2"/>
        <v>691.75000000000011</v>
      </c>
      <c r="O3" s="38">
        <f t="shared" si="2"/>
        <v>737.70000000000016</v>
      </c>
      <c r="P3" s="38">
        <f t="shared" si="2"/>
        <v>783.6500000000002</v>
      </c>
      <c r="Q3" s="38">
        <f t="shared" si="2"/>
        <v>829.60000000000025</v>
      </c>
      <c r="R3" s="38">
        <f t="shared" si="2"/>
        <v>875.5500000000003</v>
      </c>
      <c r="S3" s="38">
        <f>50*18.43</f>
        <v>921.5</v>
      </c>
      <c r="T3" s="38">
        <f t="shared" ref="T3:AB3" si="3">($AC$3-$S$3)/10+S3</f>
        <v>1013.65</v>
      </c>
      <c r="U3" s="38">
        <f t="shared" si="3"/>
        <v>1105.8</v>
      </c>
      <c r="V3" s="38">
        <f t="shared" si="3"/>
        <v>1197.95</v>
      </c>
      <c r="W3" s="38">
        <f t="shared" si="3"/>
        <v>1290.1000000000001</v>
      </c>
      <c r="X3" s="38">
        <f t="shared" si="3"/>
        <v>1382.2500000000002</v>
      </c>
      <c r="Y3" s="38">
        <f t="shared" si="3"/>
        <v>1474.4000000000003</v>
      </c>
      <c r="Z3" s="38">
        <f t="shared" si="3"/>
        <v>1566.5500000000004</v>
      </c>
      <c r="AA3" s="38">
        <f t="shared" si="3"/>
        <v>1658.7000000000005</v>
      </c>
      <c r="AB3" s="38">
        <f t="shared" si="3"/>
        <v>1750.8500000000006</v>
      </c>
      <c r="AC3" s="38">
        <f>100*18.43</f>
        <v>1843</v>
      </c>
      <c r="AD3" s="38">
        <f t="shared" ref="AD3:AM3" si="4">+($AC$3-$S$3)/10+AC3</f>
        <v>1935.15</v>
      </c>
      <c r="AE3" s="38">
        <f t="shared" si="4"/>
        <v>2027.3000000000002</v>
      </c>
      <c r="AF3" s="38">
        <f t="shared" si="4"/>
        <v>2119.4500000000003</v>
      </c>
      <c r="AG3" s="38">
        <f t="shared" si="4"/>
        <v>2211.6000000000004</v>
      </c>
      <c r="AH3" s="38">
        <f t="shared" si="4"/>
        <v>2303.7500000000005</v>
      </c>
      <c r="AI3" s="38">
        <f t="shared" si="4"/>
        <v>2395.9000000000005</v>
      </c>
      <c r="AJ3" s="38">
        <f t="shared" si="4"/>
        <v>2488.0500000000006</v>
      </c>
      <c r="AK3" s="38">
        <f t="shared" si="4"/>
        <v>2580.2000000000007</v>
      </c>
      <c r="AL3" s="38">
        <f t="shared" si="4"/>
        <v>2672.3500000000008</v>
      </c>
      <c r="AM3" s="38">
        <f t="shared" si="4"/>
        <v>2764.5000000000009</v>
      </c>
    </row>
    <row r="4" spans="1:39" x14ac:dyDescent="0.2">
      <c r="A4" s="39" t="s">
        <v>25</v>
      </c>
      <c r="B4" s="40" t="s">
        <v>24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127.05</v>
      </c>
      <c r="K4">
        <v>138.6</v>
      </c>
      <c r="L4">
        <v>150.15</v>
      </c>
      <c r="M4">
        <v>161.69999999999999</v>
      </c>
      <c r="N4">
        <v>173.25</v>
      </c>
      <c r="O4">
        <v>230.08</v>
      </c>
      <c r="P4">
        <v>292.57</v>
      </c>
      <c r="Q4">
        <v>360.72</v>
      </c>
      <c r="R4">
        <v>434.53</v>
      </c>
      <c r="S4" s="34">
        <v>514</v>
      </c>
      <c r="T4">
        <v>599.13</v>
      </c>
      <c r="U4">
        <v>689.92</v>
      </c>
      <c r="V4">
        <v>786.37</v>
      </c>
      <c r="W4">
        <v>888.48</v>
      </c>
      <c r="X4">
        <v>996.25</v>
      </c>
      <c r="Y4">
        <v>1109.68</v>
      </c>
      <c r="Z4">
        <v>1183.26</v>
      </c>
      <c r="AA4">
        <v>1256.8399999999999</v>
      </c>
      <c r="AB4">
        <v>1330.42</v>
      </c>
      <c r="AC4">
        <v>1404</v>
      </c>
      <c r="AD4">
        <v>1477.58</v>
      </c>
      <c r="AE4">
        <v>1551.16</v>
      </c>
      <c r="AF4">
        <v>1624.74</v>
      </c>
      <c r="AG4">
        <v>1698.32</v>
      </c>
      <c r="AH4">
        <v>1771.9</v>
      </c>
      <c r="AI4">
        <v>1845.48</v>
      </c>
      <c r="AJ4">
        <v>1919.06</v>
      </c>
      <c r="AK4">
        <v>1992.64</v>
      </c>
      <c r="AL4">
        <v>2066.2199999999998</v>
      </c>
      <c r="AM4">
        <v>2139.8000000000002</v>
      </c>
    </row>
    <row r="5" spans="1:39" x14ac:dyDescent="0.2">
      <c r="A5" s="41" t="s">
        <v>26</v>
      </c>
      <c r="B5" s="40" t="s">
        <v>24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242.55</v>
      </c>
      <c r="K5">
        <v>254.1</v>
      </c>
      <c r="L5">
        <v>265.64999999999998</v>
      </c>
      <c r="M5">
        <v>277.2</v>
      </c>
      <c r="N5">
        <v>288.75</v>
      </c>
      <c r="O5">
        <v>373.88</v>
      </c>
      <c r="P5">
        <v>464.67</v>
      </c>
      <c r="Q5">
        <v>561.12</v>
      </c>
      <c r="R5">
        <v>663.23</v>
      </c>
      <c r="S5">
        <v>771</v>
      </c>
      <c r="T5">
        <v>884.43</v>
      </c>
      <c r="U5">
        <v>1003.52</v>
      </c>
      <c r="V5">
        <v>1128.27</v>
      </c>
      <c r="W5">
        <v>1258.68</v>
      </c>
      <c r="X5">
        <v>1394.75</v>
      </c>
      <c r="Y5">
        <v>1536.48</v>
      </c>
      <c r="Z5">
        <v>1638.36</v>
      </c>
      <c r="AA5">
        <v>1740.24</v>
      </c>
      <c r="AB5">
        <v>1842.12</v>
      </c>
      <c r="AC5">
        <v>1944</v>
      </c>
      <c r="AD5">
        <v>2045.88</v>
      </c>
      <c r="AE5">
        <v>2147.7600000000002</v>
      </c>
      <c r="AF5">
        <v>2249.64</v>
      </c>
      <c r="AG5">
        <v>2351.52</v>
      </c>
      <c r="AH5">
        <v>2453.4</v>
      </c>
      <c r="AI5">
        <v>2555.2800000000002</v>
      </c>
      <c r="AJ5">
        <v>2657.16</v>
      </c>
      <c r="AK5">
        <v>2759.04</v>
      </c>
      <c r="AL5">
        <v>2860.92</v>
      </c>
      <c r="AM5">
        <v>2962.8</v>
      </c>
    </row>
    <row r="6" spans="1:39" x14ac:dyDescent="0.2">
      <c r="A6" s="42" t="s">
        <v>27</v>
      </c>
      <c r="B6" s="40" t="s">
        <v>24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462</v>
      </c>
      <c r="K6">
        <v>462</v>
      </c>
      <c r="L6">
        <v>462</v>
      </c>
      <c r="M6">
        <v>462</v>
      </c>
      <c r="N6">
        <v>462</v>
      </c>
      <c r="O6">
        <v>575.20000000000005</v>
      </c>
      <c r="P6">
        <v>688.4</v>
      </c>
      <c r="Q6">
        <v>801.6</v>
      </c>
      <c r="R6">
        <v>914.8</v>
      </c>
      <c r="S6">
        <v>1028</v>
      </c>
      <c r="T6">
        <v>1141.2</v>
      </c>
      <c r="U6">
        <v>1254.4000000000001</v>
      </c>
      <c r="V6">
        <v>1367.6</v>
      </c>
      <c r="W6">
        <v>1480.8</v>
      </c>
      <c r="X6">
        <v>1594</v>
      </c>
      <c r="Y6">
        <v>1707.2</v>
      </c>
      <c r="Z6">
        <v>1820.4</v>
      </c>
      <c r="AA6">
        <v>1933.6</v>
      </c>
      <c r="AB6">
        <v>2046.8</v>
      </c>
      <c r="AC6">
        <v>2160</v>
      </c>
      <c r="AD6">
        <v>2273.1999999999998</v>
      </c>
      <c r="AE6">
        <v>2386.4</v>
      </c>
      <c r="AF6">
        <v>2499.6</v>
      </c>
      <c r="AG6">
        <v>2612.8000000000002</v>
      </c>
      <c r="AH6">
        <v>2726</v>
      </c>
      <c r="AI6">
        <v>2839.2</v>
      </c>
      <c r="AJ6">
        <v>2952.4</v>
      </c>
      <c r="AK6">
        <v>3065.6</v>
      </c>
      <c r="AL6">
        <v>3178.8</v>
      </c>
      <c r="AM6">
        <v>3292</v>
      </c>
    </row>
    <row r="8" spans="1:39" x14ac:dyDescent="0.2">
      <c r="A8" t="s">
        <v>28</v>
      </c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fixed_generators</vt:lpstr>
      <vt:lpstr>extendable_generators</vt:lpstr>
      <vt:lpstr>green_NH3</vt:lpstr>
      <vt:lpstr>carbon_tax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Klein</dc:creator>
  <dc:description/>
  <cp:lastModifiedBy>Rachel Calaz</cp:lastModifiedBy>
  <cp:revision>1</cp:revision>
  <dcterms:created xsi:type="dcterms:W3CDTF">2024-12-02T10:02:30Z</dcterms:created>
  <dcterms:modified xsi:type="dcterms:W3CDTF">2026-04-19T20:01:58Z</dcterms:modified>
  <dc:language>en-GB</dc:language>
</cp:coreProperties>
</file>